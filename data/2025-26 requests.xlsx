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ate1904="1"/>
  <mc:AlternateContent xmlns:mc="http://schemas.openxmlformats.org/markup-compatibility/2006">
    <mc:Choice Requires="x15">
      <x15ac:absPath xmlns:x15ac="http://schemas.microsoft.com/office/spreadsheetml/2010/11/ac" url="C:\Users\wiste\Documents\GitHub\Sierra-Club-Huts\data\"/>
    </mc:Choice>
  </mc:AlternateContent>
  <xr:revisionPtr revIDLastSave="0" documentId="13_ncr:1_{C368B6B1-E80F-46C0-9829-FB190BA893C9}" xr6:coauthVersionLast="36" xr6:coauthVersionMax="36" xr10:uidLastSave="{00000000-0000-0000-0000-000000000000}"/>
  <bookViews>
    <workbookView xWindow="0" yWindow="0" windowWidth="17170" windowHeight="1500" firstSheet="1" activeTab="2" xr2:uid="{00000000-000D-0000-FFFF-FFFF00000000}"/>
  </bookViews>
  <sheets>
    <sheet name="requestors pivot" sheetId="6" r:id="rId1"/>
    <sheet name="original" sheetId="1" r:id="rId2"/>
    <sheet name="requestors" sheetId="5" r:id="rId3"/>
    <sheet name="requests.tsv" sheetId="4" r:id="rId4"/>
    <sheet name="Sheet2" sheetId="2" r:id="rId5"/>
    <sheet name="Sheet3" sheetId="3" r:id="rId6"/>
  </sheets>
  <calcPr calcId="191029"/>
  <pivotCaches>
    <pivotCache cacheId="0" r:id="rId7"/>
  </pivotCaches>
</workbook>
</file>

<file path=xl/calcChain.xml><?xml version="1.0" encoding="utf-8"?>
<calcChain xmlns="http://schemas.openxmlformats.org/spreadsheetml/2006/main">
  <c r="AL91" i="1" l="1"/>
  <c r="AL90" i="1"/>
  <c r="AL89" i="1"/>
  <c r="AL88" i="1"/>
  <c r="AL87" i="1"/>
  <c r="AL86" i="1"/>
  <c r="AL85" i="1"/>
  <c r="AL84" i="1"/>
  <c r="AL83" i="1"/>
  <c r="AL82" i="1"/>
  <c r="AL81" i="1"/>
  <c r="AL80" i="1"/>
  <c r="AL79" i="1"/>
  <c r="AL78" i="1"/>
  <c r="AL77" i="1"/>
  <c r="AL76" i="1"/>
  <c r="AL75" i="1"/>
  <c r="AL74" i="1"/>
  <c r="AL73" i="1"/>
  <c r="AL72" i="1"/>
  <c r="AL71" i="1"/>
  <c r="AL70" i="1"/>
  <c r="AL69" i="1"/>
  <c r="AL68" i="1"/>
  <c r="AL67" i="1"/>
  <c r="AL66" i="1"/>
  <c r="AL65" i="1"/>
  <c r="AL64" i="1"/>
  <c r="AL63" i="1"/>
  <c r="AL62" i="1"/>
  <c r="AL61" i="1"/>
  <c r="AL60" i="1"/>
  <c r="AL59" i="1"/>
  <c r="AL58" i="1"/>
  <c r="AL57" i="1"/>
  <c r="AL56" i="1"/>
  <c r="AL55" i="1"/>
  <c r="AL54" i="1"/>
  <c r="AL53" i="1"/>
  <c r="AL52" i="1"/>
  <c r="AL51" i="1"/>
  <c r="AL50" i="1"/>
  <c r="AL49" i="1"/>
  <c r="AL48" i="1"/>
  <c r="AL47" i="1"/>
  <c r="AL46" i="1"/>
  <c r="AL45" i="1"/>
  <c r="AL44" i="1"/>
  <c r="AL43" i="1"/>
  <c r="AL42" i="1"/>
  <c r="AL41" i="1"/>
  <c r="AL40" i="1"/>
  <c r="AL39" i="1"/>
  <c r="AL38" i="1"/>
  <c r="AL37" i="1"/>
  <c r="AL36" i="1"/>
  <c r="AL35" i="1"/>
  <c r="AL34" i="1"/>
  <c r="AL33" i="1"/>
  <c r="AL32" i="1"/>
  <c r="AL31" i="1"/>
  <c r="AL30" i="1"/>
  <c r="AL29" i="1"/>
  <c r="AL28" i="1"/>
  <c r="AL27" i="1"/>
  <c r="AL26" i="1"/>
  <c r="AL25" i="1"/>
  <c r="AL24" i="1"/>
  <c r="AL23" i="1"/>
  <c r="AL22" i="1"/>
  <c r="AL21" i="1"/>
  <c r="AL20" i="1"/>
  <c r="AL19" i="1"/>
  <c r="AL18" i="1"/>
  <c r="AL17" i="1"/>
  <c r="AL16" i="1"/>
  <c r="AL15" i="1"/>
  <c r="AL14" i="1"/>
  <c r="AL13" i="1"/>
  <c r="AL12" i="1"/>
  <c r="AL11" i="1"/>
  <c r="AL10" i="1"/>
  <c r="AL9" i="1"/>
  <c r="AL8" i="1"/>
  <c r="AL7" i="1"/>
  <c r="AL6" i="1"/>
  <c r="AL5" i="1"/>
  <c r="AL4" i="1"/>
  <c r="AL3" i="1"/>
  <c r="AL2" i="1"/>
  <c r="AN91" i="1"/>
  <c r="AN90" i="1"/>
  <c r="AN89" i="1"/>
  <c r="AN88" i="1"/>
  <c r="AN87" i="1"/>
  <c r="AN86" i="1"/>
  <c r="AN85" i="1"/>
  <c r="AN84" i="1"/>
  <c r="AN83" i="1"/>
  <c r="AN82" i="1"/>
  <c r="AN81" i="1"/>
  <c r="AN80" i="1"/>
  <c r="AN79" i="1"/>
  <c r="AN78" i="1"/>
  <c r="AN77" i="1"/>
  <c r="AN76" i="1"/>
  <c r="AN75" i="1"/>
  <c r="AN74" i="1"/>
  <c r="AN73" i="1"/>
  <c r="AN72" i="1"/>
  <c r="AN71" i="1"/>
  <c r="AN70" i="1"/>
  <c r="AN69" i="1"/>
  <c r="AN68" i="1"/>
  <c r="AN67" i="1"/>
  <c r="AN66" i="1"/>
  <c r="AN65" i="1"/>
  <c r="AN64" i="1"/>
  <c r="AN63" i="1"/>
  <c r="AN62" i="1"/>
  <c r="AN61" i="1"/>
  <c r="AN60" i="1"/>
  <c r="AN59" i="1"/>
  <c r="AN58" i="1"/>
  <c r="AN57" i="1"/>
  <c r="AN56" i="1"/>
  <c r="AN55" i="1"/>
  <c r="AN54" i="1"/>
  <c r="AN53" i="1"/>
  <c r="AN52" i="1"/>
  <c r="AN51" i="1"/>
  <c r="AN50" i="1"/>
  <c r="AN49" i="1"/>
  <c r="AN48" i="1"/>
  <c r="AN47" i="1"/>
  <c r="AN46" i="1"/>
  <c r="AN45" i="1"/>
  <c r="AN44" i="1"/>
  <c r="AN43" i="1"/>
  <c r="AN42" i="1"/>
  <c r="AN41" i="1"/>
  <c r="AN40" i="1"/>
  <c r="AN39" i="1"/>
  <c r="AN38" i="1"/>
  <c r="AN37" i="1"/>
  <c r="AN36" i="1"/>
  <c r="AN35" i="1"/>
  <c r="AN34" i="1"/>
  <c r="AN33" i="1"/>
  <c r="AN32" i="1"/>
  <c r="AN31" i="1"/>
  <c r="AN30" i="1"/>
  <c r="AN29" i="1"/>
  <c r="AN28" i="1"/>
  <c r="AN27" i="1"/>
  <c r="AN26" i="1"/>
  <c r="AN25" i="1"/>
  <c r="AN24" i="1"/>
  <c r="AN23" i="1"/>
  <c r="AN22" i="1"/>
  <c r="AN21" i="1"/>
  <c r="AN20" i="1"/>
  <c r="AN19" i="1"/>
  <c r="AN18" i="1"/>
  <c r="AN17" i="1"/>
  <c r="AN16" i="1"/>
  <c r="AN15" i="1"/>
  <c r="AN14" i="1"/>
  <c r="AN13" i="1"/>
  <c r="AN12" i="1"/>
  <c r="AN11" i="1"/>
  <c r="AN10" i="1"/>
  <c r="AN9" i="1"/>
  <c r="AN8" i="1"/>
  <c r="AN7" i="1"/>
  <c r="AN6" i="1"/>
  <c r="AN5" i="1"/>
  <c r="AN4" i="1"/>
  <c r="AN3" i="1"/>
  <c r="AN2" i="1"/>
  <c r="AI91" i="1"/>
  <c r="AH91" i="1"/>
  <c r="AG91" i="1"/>
  <c r="AF91" i="1"/>
  <c r="AI90" i="1"/>
  <c r="AH90" i="1"/>
  <c r="AG90" i="1"/>
  <c r="AF90" i="1"/>
  <c r="AI89" i="1"/>
  <c r="AH89" i="1"/>
  <c r="AG89" i="1"/>
  <c r="AF89" i="1"/>
  <c r="AI88" i="1"/>
  <c r="AH88" i="1"/>
  <c r="AG88" i="1"/>
  <c r="AF88" i="1"/>
  <c r="AI87" i="1"/>
  <c r="AH87" i="1"/>
  <c r="AG87" i="1"/>
  <c r="AF87" i="1"/>
  <c r="AI86" i="1"/>
  <c r="AH86" i="1"/>
  <c r="AG86" i="1"/>
  <c r="AF86" i="1"/>
  <c r="AI85" i="1"/>
  <c r="AH85" i="1"/>
  <c r="AG85" i="1"/>
  <c r="AF85" i="1"/>
  <c r="AI84" i="1"/>
  <c r="AH84" i="1"/>
  <c r="AG84" i="1"/>
  <c r="AF84" i="1"/>
  <c r="AI83" i="1"/>
  <c r="AH83" i="1"/>
  <c r="AG83" i="1"/>
  <c r="AF83" i="1"/>
  <c r="AI82" i="1"/>
  <c r="AH82" i="1"/>
  <c r="AG82" i="1"/>
  <c r="AF82" i="1"/>
  <c r="AI81" i="1"/>
  <c r="AH81" i="1"/>
  <c r="AG81" i="1"/>
  <c r="AF81" i="1"/>
  <c r="AI80" i="1"/>
  <c r="AH80" i="1"/>
  <c r="AG80" i="1"/>
  <c r="AF80" i="1"/>
  <c r="AI79" i="1"/>
  <c r="AH79" i="1"/>
  <c r="AG79" i="1"/>
  <c r="AF79" i="1"/>
  <c r="AI78" i="1"/>
  <c r="AH78" i="1"/>
  <c r="AG78" i="1"/>
  <c r="AF78" i="1"/>
  <c r="AI77" i="1"/>
  <c r="AH77" i="1"/>
  <c r="AG77" i="1"/>
  <c r="AF77" i="1"/>
  <c r="AI76" i="1"/>
  <c r="AH76" i="1"/>
  <c r="AG76" i="1"/>
  <c r="AF76" i="1"/>
  <c r="AI75" i="1"/>
  <c r="AH75" i="1"/>
  <c r="AG75" i="1"/>
  <c r="AF75" i="1"/>
  <c r="AI74" i="1"/>
  <c r="AH74" i="1"/>
  <c r="AG74" i="1"/>
  <c r="AF74" i="1"/>
  <c r="AI73" i="1"/>
  <c r="AH73" i="1"/>
  <c r="AG73" i="1"/>
  <c r="AF73" i="1"/>
  <c r="AI72" i="1"/>
  <c r="AH72" i="1"/>
  <c r="AG72" i="1"/>
  <c r="AF72" i="1"/>
  <c r="AI71" i="1"/>
  <c r="AH71" i="1"/>
  <c r="AG71" i="1"/>
  <c r="AF71" i="1"/>
  <c r="AI70" i="1"/>
  <c r="AH70" i="1"/>
  <c r="AG70" i="1"/>
  <c r="AF70" i="1"/>
  <c r="AI69" i="1"/>
  <c r="AH69" i="1"/>
  <c r="AG69" i="1"/>
  <c r="AF69" i="1"/>
  <c r="AI68" i="1"/>
  <c r="AH68" i="1"/>
  <c r="AG68" i="1"/>
  <c r="AF68" i="1"/>
  <c r="AI67" i="1"/>
  <c r="AH67" i="1"/>
  <c r="AG67" i="1"/>
  <c r="AF67" i="1"/>
  <c r="AI66" i="1"/>
  <c r="AH66" i="1"/>
  <c r="AG66" i="1"/>
  <c r="AF66" i="1"/>
  <c r="AI65" i="1"/>
  <c r="AH65" i="1"/>
  <c r="AG65" i="1"/>
  <c r="AF65" i="1"/>
  <c r="AI64" i="1"/>
  <c r="AH64" i="1"/>
  <c r="AG64" i="1"/>
  <c r="AF64" i="1"/>
  <c r="AI63" i="1"/>
  <c r="AH63" i="1"/>
  <c r="AG63" i="1"/>
  <c r="AF63" i="1"/>
  <c r="AI62" i="1"/>
  <c r="AH62" i="1"/>
  <c r="AG62" i="1"/>
  <c r="AF62" i="1"/>
  <c r="AI61" i="1"/>
  <c r="AH61" i="1"/>
  <c r="AG61" i="1"/>
  <c r="AF61" i="1"/>
  <c r="AI60" i="1"/>
  <c r="AH60" i="1"/>
  <c r="AG60" i="1"/>
  <c r="AF60" i="1"/>
  <c r="AI59" i="1"/>
  <c r="AH59" i="1"/>
  <c r="AG59" i="1"/>
  <c r="AF59" i="1"/>
  <c r="AI58" i="1"/>
  <c r="AH58" i="1"/>
  <c r="AG58" i="1"/>
  <c r="AF58" i="1"/>
  <c r="AI57" i="1"/>
  <c r="AH57" i="1"/>
  <c r="AG57" i="1"/>
  <c r="AF57" i="1"/>
  <c r="AI56" i="1"/>
  <c r="AH56" i="1"/>
  <c r="AG56" i="1"/>
  <c r="AF56" i="1"/>
  <c r="AI55" i="1"/>
  <c r="AH55" i="1"/>
  <c r="AG55" i="1"/>
  <c r="AF55" i="1"/>
  <c r="AI54" i="1"/>
  <c r="AH54" i="1"/>
  <c r="AG54" i="1"/>
  <c r="AF54" i="1"/>
  <c r="AI53" i="1"/>
  <c r="AH53" i="1"/>
  <c r="AG53" i="1"/>
  <c r="AF53" i="1"/>
  <c r="AI52" i="1"/>
  <c r="AH52" i="1"/>
  <c r="AG52" i="1"/>
  <c r="AF52" i="1"/>
  <c r="AI51" i="1"/>
  <c r="AH51" i="1"/>
  <c r="AG51" i="1"/>
  <c r="AF51" i="1"/>
  <c r="AI50" i="1"/>
  <c r="AH50" i="1"/>
  <c r="AG50" i="1"/>
  <c r="AF50" i="1"/>
  <c r="AI49" i="1"/>
  <c r="AH49" i="1"/>
  <c r="AG49" i="1"/>
  <c r="AF49" i="1"/>
  <c r="AI48" i="1"/>
  <c r="AH48" i="1"/>
  <c r="AG48" i="1"/>
  <c r="AF48" i="1"/>
  <c r="AI47" i="1"/>
  <c r="AH47" i="1"/>
  <c r="AG47" i="1"/>
  <c r="AF47" i="1"/>
  <c r="AI46" i="1"/>
  <c r="AH46" i="1"/>
  <c r="AG46" i="1"/>
  <c r="AF46" i="1"/>
  <c r="AI45" i="1"/>
  <c r="AH45" i="1"/>
  <c r="AG45" i="1"/>
  <c r="AF45" i="1"/>
  <c r="AI44" i="1"/>
  <c r="AH44" i="1"/>
  <c r="AG44" i="1"/>
  <c r="AF44" i="1"/>
  <c r="AI43" i="1"/>
  <c r="AH43" i="1"/>
  <c r="AG43" i="1"/>
  <c r="AF43" i="1"/>
  <c r="AI42" i="1"/>
  <c r="AH42" i="1"/>
  <c r="AG42" i="1"/>
  <c r="AF42" i="1"/>
  <c r="AI41" i="1"/>
  <c r="AH41" i="1"/>
  <c r="AG41" i="1"/>
  <c r="AF41" i="1"/>
  <c r="AI40" i="1"/>
  <c r="AH40" i="1"/>
  <c r="AG40" i="1"/>
  <c r="AF40" i="1"/>
  <c r="AI39" i="1"/>
  <c r="AH39" i="1"/>
  <c r="AG39" i="1"/>
  <c r="AF39" i="1"/>
  <c r="AI38" i="1"/>
  <c r="AH38" i="1"/>
  <c r="AG38" i="1"/>
  <c r="AF38" i="1"/>
  <c r="AI37" i="1"/>
  <c r="AH37" i="1"/>
  <c r="AG37" i="1"/>
  <c r="AF37" i="1"/>
  <c r="AI36" i="1"/>
  <c r="AH36" i="1"/>
  <c r="AG36" i="1"/>
  <c r="AF36" i="1"/>
  <c r="AI35" i="1"/>
  <c r="AH35" i="1"/>
  <c r="AG35" i="1"/>
  <c r="AF35" i="1"/>
  <c r="AI34" i="1"/>
  <c r="AH34" i="1"/>
  <c r="AG34" i="1"/>
  <c r="AF34" i="1"/>
  <c r="AI33" i="1"/>
  <c r="AH33" i="1"/>
  <c r="AG33" i="1"/>
  <c r="AF33" i="1"/>
  <c r="AI32" i="1"/>
  <c r="AH32" i="1"/>
  <c r="AG32" i="1"/>
  <c r="AF32" i="1"/>
  <c r="AI31" i="1"/>
  <c r="AH31" i="1"/>
  <c r="AG31" i="1"/>
  <c r="AF31" i="1"/>
  <c r="AI30" i="1"/>
  <c r="AH30" i="1"/>
  <c r="AG30" i="1"/>
  <c r="AF30" i="1"/>
  <c r="AI29" i="1"/>
  <c r="AH29" i="1"/>
  <c r="AG29" i="1"/>
  <c r="AF29" i="1"/>
  <c r="AI28" i="1"/>
  <c r="AH28" i="1"/>
  <c r="AG28" i="1"/>
  <c r="AF28" i="1"/>
  <c r="AI27" i="1"/>
  <c r="AH27" i="1"/>
  <c r="AG27" i="1"/>
  <c r="AF27" i="1"/>
  <c r="AI26" i="1"/>
  <c r="AH26" i="1"/>
  <c r="AG26" i="1"/>
  <c r="AF26" i="1"/>
  <c r="AI25" i="1"/>
  <c r="AH25" i="1"/>
  <c r="AG25" i="1"/>
  <c r="AF25" i="1"/>
  <c r="AI24" i="1"/>
  <c r="AH24" i="1"/>
  <c r="AG24" i="1"/>
  <c r="AF24" i="1"/>
  <c r="AI23" i="1"/>
  <c r="AH23" i="1"/>
  <c r="AG23" i="1"/>
  <c r="AF23" i="1"/>
  <c r="AI22" i="1"/>
  <c r="AH22" i="1"/>
  <c r="AG22" i="1"/>
  <c r="AF22" i="1"/>
  <c r="AI21" i="1"/>
  <c r="AH21" i="1"/>
  <c r="AG21" i="1"/>
  <c r="AF21" i="1"/>
  <c r="AI20" i="1"/>
  <c r="AH20" i="1"/>
  <c r="AG20" i="1"/>
  <c r="AF20" i="1"/>
  <c r="AI19" i="1"/>
  <c r="AH19" i="1"/>
  <c r="AG19" i="1"/>
  <c r="AF19" i="1"/>
  <c r="AI18" i="1"/>
  <c r="AH18" i="1"/>
  <c r="AG18" i="1"/>
  <c r="AF18" i="1"/>
  <c r="AI17" i="1"/>
  <c r="AH17" i="1"/>
  <c r="AG17" i="1"/>
  <c r="AF17" i="1"/>
  <c r="AI16" i="1"/>
  <c r="AH16" i="1"/>
  <c r="AG16" i="1"/>
  <c r="AF16" i="1"/>
  <c r="AI15" i="1"/>
  <c r="AH15" i="1"/>
  <c r="AG15" i="1"/>
  <c r="AF15" i="1"/>
  <c r="AI14" i="1"/>
  <c r="AH14" i="1"/>
  <c r="AG14" i="1"/>
  <c r="AF14" i="1"/>
  <c r="AI13" i="1"/>
  <c r="AH13" i="1"/>
  <c r="AG13" i="1"/>
  <c r="AF13" i="1"/>
  <c r="AI12" i="1"/>
  <c r="AH12" i="1"/>
  <c r="AG12" i="1"/>
  <c r="AF12" i="1"/>
  <c r="AI11" i="1"/>
  <c r="AH11" i="1"/>
  <c r="AG11" i="1"/>
  <c r="AF11" i="1"/>
  <c r="AI10" i="1"/>
  <c r="AH10" i="1"/>
  <c r="AG10" i="1"/>
  <c r="AF10" i="1"/>
  <c r="AI9" i="1"/>
  <c r="AH9" i="1"/>
  <c r="AG9" i="1"/>
  <c r="AF9" i="1"/>
  <c r="AI8" i="1"/>
  <c r="AH8" i="1"/>
  <c r="AG8" i="1"/>
  <c r="AF8" i="1"/>
  <c r="AI7" i="1"/>
  <c r="AH7" i="1"/>
  <c r="AG7" i="1"/>
  <c r="AF7" i="1"/>
  <c r="AI6" i="1"/>
  <c r="AH6" i="1"/>
  <c r="AG6" i="1"/>
  <c r="AF6" i="1"/>
  <c r="AI5" i="1"/>
  <c r="AH5" i="1"/>
  <c r="AG5" i="1"/>
  <c r="AF5" i="1"/>
  <c r="AI4" i="1"/>
  <c r="AH4" i="1"/>
  <c r="AG4" i="1"/>
  <c r="AF4" i="1"/>
  <c r="AI3" i="1"/>
  <c r="AH3" i="1"/>
  <c r="AG3" i="1"/>
  <c r="AF3" i="1"/>
  <c r="AI2" i="1"/>
  <c r="AH2" i="1"/>
  <c r="AG2" i="1"/>
  <c r="AF2" i="1"/>
  <c r="J75" i="6"/>
  <c r="J67" i="6"/>
  <c r="I85" i="6"/>
  <c r="I69" i="6"/>
  <c r="I61" i="6"/>
  <c r="F84" i="6"/>
  <c r="G79" i="6"/>
  <c r="H74" i="6"/>
  <c r="E73" i="6"/>
  <c r="G71" i="6"/>
  <c r="F68" i="6"/>
  <c r="H66" i="6"/>
  <c r="G63" i="6"/>
  <c r="F60" i="6"/>
  <c r="AE15" i="1"/>
  <c r="AE76" i="1"/>
  <c r="AE60" i="1"/>
  <c r="AE18" i="1"/>
  <c r="AE24" i="1"/>
  <c r="AE42" i="1"/>
  <c r="AE50" i="1"/>
  <c r="AE51" i="1"/>
  <c r="AE33" i="1"/>
  <c r="AE20" i="1"/>
  <c r="AE56" i="1"/>
  <c r="AE41" i="1"/>
  <c r="AE83" i="1"/>
  <c r="AE90" i="1"/>
  <c r="AE86" i="1"/>
  <c r="E81" i="6" s="1"/>
  <c r="AE58" i="1"/>
  <c r="AE73" i="1"/>
  <c r="AE49" i="1"/>
  <c r="AE43" i="1"/>
  <c r="AE14" i="1"/>
  <c r="AE55" i="1"/>
  <c r="AE79" i="1"/>
  <c r="AE52" i="1"/>
  <c r="AE85" i="1"/>
  <c r="AE64" i="1"/>
  <c r="J86" i="6" s="1"/>
  <c r="AE28" i="1"/>
  <c r="AE3" i="1"/>
  <c r="AE89" i="1"/>
  <c r="AE67" i="1"/>
  <c r="AE74" i="1"/>
  <c r="AE9" i="1"/>
  <c r="AE77" i="1"/>
  <c r="AE44" i="1"/>
  <c r="AE21" i="1"/>
  <c r="AE80" i="1"/>
  <c r="AE47" i="1"/>
  <c r="AE19" i="1"/>
  <c r="AE72" i="1"/>
  <c r="AE53" i="1"/>
  <c r="AE68" i="1"/>
  <c r="AE59" i="1"/>
  <c r="AE17" i="1"/>
  <c r="AE75" i="1"/>
  <c r="AE5" i="1"/>
  <c r="AE31" i="1"/>
  <c r="AE38" i="1"/>
  <c r="AE32" i="1"/>
  <c r="F59" i="6" s="1"/>
  <c r="AE30" i="1"/>
  <c r="AE91" i="1"/>
  <c r="AE39" i="1"/>
  <c r="AE61" i="1"/>
  <c r="AE13" i="1"/>
  <c r="AE57" i="1"/>
  <c r="AE36" i="1"/>
  <c r="AE82" i="1"/>
  <c r="F76" i="6" s="1"/>
  <c r="AE48" i="1"/>
  <c r="AE16" i="1"/>
  <c r="AE11" i="1"/>
  <c r="AE71" i="1"/>
  <c r="AE84" i="1"/>
  <c r="AE37" i="1"/>
  <c r="AE4" i="1"/>
  <c r="AE12" i="1"/>
  <c r="AE45" i="1"/>
  <c r="AE7" i="1"/>
  <c r="AE81" i="1"/>
  <c r="AE25" i="1"/>
  <c r="AE26" i="1"/>
  <c r="AE29" i="1"/>
  <c r="AE46" i="1"/>
  <c r="AE40" i="1"/>
  <c r="AE23" i="1"/>
  <c r="AE2" i="1"/>
  <c r="AE35" i="1"/>
  <c r="AE62" i="1"/>
  <c r="AE27" i="1"/>
  <c r="AE54" i="1"/>
  <c r="AE66" i="1"/>
  <c r="AE87" i="1"/>
  <c r="AE22" i="1"/>
  <c r="AE34" i="1"/>
  <c r="AE65" i="1"/>
  <c r="AE88" i="1"/>
  <c r="AE63" i="1"/>
  <c r="AE78" i="1"/>
  <c r="AE10" i="1"/>
  <c r="AE69" i="1"/>
  <c r="E65" i="6" s="1"/>
  <c r="AE8" i="1"/>
  <c r="AE70" i="1"/>
  <c r="AE6" i="1"/>
  <c r="AM15" i="1"/>
  <c r="AK15" i="1"/>
  <c r="AJ15" i="1"/>
  <c r="AM76" i="1"/>
  <c r="AK76" i="1"/>
  <c r="AJ76" i="1"/>
  <c r="AM60" i="1"/>
  <c r="AK60" i="1"/>
  <c r="AJ60" i="1"/>
  <c r="AM18" i="1"/>
  <c r="AK18" i="1"/>
  <c r="AJ18" i="1"/>
  <c r="AM24" i="1"/>
  <c r="AK24" i="1"/>
  <c r="AJ24" i="1"/>
  <c r="AM42" i="1"/>
  <c r="AK42" i="1"/>
  <c r="AJ42" i="1"/>
  <c r="AM50" i="1"/>
  <c r="AK50" i="1"/>
  <c r="AJ50" i="1"/>
  <c r="AM51" i="1"/>
  <c r="AK51" i="1"/>
  <c r="AJ51" i="1"/>
  <c r="AM33" i="1"/>
  <c r="AK33" i="1"/>
  <c r="AJ33" i="1"/>
  <c r="AM20" i="1"/>
  <c r="AK20" i="1"/>
  <c r="AJ20" i="1"/>
  <c r="AM56" i="1"/>
  <c r="AK56" i="1"/>
  <c r="AJ56" i="1"/>
  <c r="AM41" i="1"/>
  <c r="AK41" i="1"/>
  <c r="AJ41" i="1"/>
  <c r="AM83" i="1"/>
  <c r="AK83" i="1"/>
  <c r="AJ83" i="1"/>
  <c r="AM90" i="1"/>
  <c r="AK90" i="1"/>
  <c r="AJ90" i="1"/>
  <c r="AM86" i="1"/>
  <c r="AK86" i="1"/>
  <c r="AJ86" i="1"/>
  <c r="AM58" i="1"/>
  <c r="AK58" i="1"/>
  <c r="AJ58" i="1"/>
  <c r="AM73" i="1"/>
  <c r="AK73" i="1"/>
  <c r="AJ73" i="1"/>
  <c r="AM49" i="1"/>
  <c r="AK49" i="1"/>
  <c r="AJ49" i="1"/>
  <c r="AM43" i="1"/>
  <c r="AK43" i="1"/>
  <c r="AJ43" i="1"/>
  <c r="AM14" i="1"/>
  <c r="AK14" i="1"/>
  <c r="AJ14" i="1"/>
  <c r="AM55" i="1"/>
  <c r="AK55" i="1"/>
  <c r="AJ55" i="1"/>
  <c r="AM79" i="1"/>
  <c r="AK79" i="1"/>
  <c r="AJ79" i="1"/>
  <c r="AM52" i="1"/>
  <c r="AK52" i="1"/>
  <c r="AJ52" i="1"/>
  <c r="AM85" i="1"/>
  <c r="AK85" i="1"/>
  <c r="AJ85" i="1"/>
  <c r="AM64" i="1"/>
  <c r="AK64" i="1"/>
  <c r="AJ64" i="1"/>
  <c r="AM28" i="1"/>
  <c r="AK28" i="1"/>
  <c r="AJ28" i="1"/>
  <c r="AM3" i="1"/>
  <c r="AK3" i="1"/>
  <c r="AJ3" i="1"/>
  <c r="AM89" i="1"/>
  <c r="AK89" i="1"/>
  <c r="AJ89" i="1"/>
  <c r="AM67" i="1"/>
  <c r="AK67" i="1"/>
  <c r="AJ67" i="1"/>
  <c r="AM74" i="1"/>
  <c r="AK74" i="1"/>
  <c r="AJ74" i="1"/>
  <c r="AM9" i="1"/>
  <c r="AK9" i="1"/>
  <c r="AJ9" i="1"/>
  <c r="AM77" i="1"/>
  <c r="AK77" i="1"/>
  <c r="AJ77" i="1"/>
  <c r="AM44" i="1"/>
  <c r="AK44" i="1"/>
  <c r="AJ44" i="1"/>
  <c r="AM21" i="1"/>
  <c r="AK21" i="1"/>
  <c r="AJ21" i="1"/>
  <c r="AM80" i="1"/>
  <c r="AK80" i="1"/>
  <c r="AJ80" i="1"/>
  <c r="AM47" i="1"/>
  <c r="AK47" i="1"/>
  <c r="AJ47" i="1"/>
  <c r="AM19" i="1"/>
  <c r="AK19" i="1"/>
  <c r="AJ19" i="1"/>
  <c r="AM72" i="1"/>
  <c r="AK72" i="1"/>
  <c r="AJ72" i="1"/>
  <c r="AM53" i="1"/>
  <c r="AK53" i="1"/>
  <c r="AJ53" i="1"/>
  <c r="AM68" i="1"/>
  <c r="AK68" i="1"/>
  <c r="AJ68" i="1"/>
  <c r="AM59" i="1"/>
  <c r="AK59" i="1"/>
  <c r="AJ59" i="1"/>
  <c r="AM17" i="1"/>
  <c r="AK17" i="1"/>
  <c r="AJ17" i="1"/>
  <c r="AM75" i="1"/>
  <c r="AK75" i="1"/>
  <c r="AJ75" i="1"/>
  <c r="AM5" i="1"/>
  <c r="AK5" i="1"/>
  <c r="AJ5" i="1"/>
  <c r="AM31" i="1"/>
  <c r="AK31" i="1"/>
  <c r="AJ31" i="1"/>
  <c r="AM38" i="1"/>
  <c r="AK38" i="1"/>
  <c r="AJ38" i="1"/>
  <c r="AM32" i="1"/>
  <c r="AK32" i="1"/>
  <c r="AJ32" i="1"/>
  <c r="AM30" i="1"/>
  <c r="AK30" i="1"/>
  <c r="AJ30" i="1"/>
  <c r="AM91" i="1"/>
  <c r="AK91" i="1"/>
  <c r="AJ91" i="1"/>
  <c r="AM39" i="1"/>
  <c r="AK39" i="1"/>
  <c r="AJ39" i="1"/>
  <c r="AM61" i="1"/>
  <c r="AK61" i="1"/>
  <c r="AJ61" i="1"/>
  <c r="AM13" i="1"/>
  <c r="AK13" i="1"/>
  <c r="AJ13" i="1"/>
  <c r="AM57" i="1"/>
  <c r="AK57" i="1"/>
  <c r="AJ57" i="1"/>
  <c r="AM36" i="1"/>
  <c r="AK36" i="1"/>
  <c r="AJ36" i="1"/>
  <c r="AM82" i="1"/>
  <c r="AK82" i="1"/>
  <c r="AJ82" i="1"/>
  <c r="AM48" i="1"/>
  <c r="AK48" i="1"/>
  <c r="AJ48" i="1"/>
  <c r="AM16" i="1"/>
  <c r="AK16" i="1"/>
  <c r="AJ16" i="1"/>
  <c r="AM11" i="1"/>
  <c r="AK11" i="1"/>
  <c r="AJ11" i="1"/>
  <c r="AM71" i="1"/>
  <c r="AK71" i="1"/>
  <c r="AJ71" i="1"/>
  <c r="AM84" i="1"/>
  <c r="AK84" i="1"/>
  <c r="AJ84" i="1"/>
  <c r="AM37" i="1"/>
  <c r="AK37" i="1"/>
  <c r="AJ37" i="1"/>
  <c r="AM4" i="1"/>
  <c r="AK4" i="1"/>
  <c r="AJ4" i="1"/>
  <c r="AM12" i="1"/>
  <c r="AK12" i="1"/>
  <c r="AJ12" i="1"/>
  <c r="AM45" i="1"/>
  <c r="AK45" i="1"/>
  <c r="AJ45" i="1"/>
  <c r="AM7" i="1"/>
  <c r="AK7" i="1"/>
  <c r="AJ7" i="1"/>
  <c r="AM81" i="1"/>
  <c r="AK81" i="1"/>
  <c r="AJ81" i="1"/>
  <c r="AM25" i="1"/>
  <c r="AK25" i="1"/>
  <c r="AJ25" i="1"/>
  <c r="AM26" i="1"/>
  <c r="AK26" i="1"/>
  <c r="AJ26" i="1"/>
  <c r="AM29" i="1"/>
  <c r="AK29" i="1"/>
  <c r="AJ29" i="1"/>
  <c r="AM46" i="1"/>
  <c r="AK46" i="1"/>
  <c r="AJ46" i="1"/>
  <c r="AM40" i="1"/>
  <c r="AK40" i="1"/>
  <c r="AJ40" i="1"/>
  <c r="AM23" i="1"/>
  <c r="AK23" i="1"/>
  <c r="AJ23" i="1"/>
  <c r="AM2" i="1"/>
  <c r="AK2" i="1"/>
  <c r="AJ2" i="1"/>
  <c r="AM35" i="1"/>
  <c r="AK35" i="1"/>
  <c r="AJ35" i="1"/>
  <c r="AM62" i="1"/>
  <c r="AK62" i="1"/>
  <c r="AJ62" i="1"/>
  <c r="AM27" i="1"/>
  <c r="AK27" i="1"/>
  <c r="AJ27" i="1"/>
  <c r="AM54" i="1"/>
  <c r="AK54" i="1"/>
  <c r="AJ54" i="1"/>
  <c r="AM66" i="1"/>
  <c r="AK66" i="1"/>
  <c r="AJ66" i="1"/>
  <c r="AM87" i="1"/>
  <c r="AK87" i="1"/>
  <c r="AJ87" i="1"/>
  <c r="AM22" i="1"/>
  <c r="AK22" i="1"/>
  <c r="AJ22" i="1"/>
  <c r="AM34" i="1"/>
  <c r="AK34" i="1"/>
  <c r="AJ34" i="1"/>
  <c r="AM65" i="1"/>
  <c r="AK65" i="1"/>
  <c r="AJ65" i="1"/>
  <c r="AM88" i="1"/>
  <c r="AK88" i="1"/>
  <c r="AJ88" i="1"/>
  <c r="AM63" i="1"/>
  <c r="AK63" i="1"/>
  <c r="AJ63" i="1"/>
  <c r="AM78" i="1"/>
  <c r="AK78" i="1"/>
  <c r="AJ78" i="1"/>
  <c r="AM10" i="1"/>
  <c r="AK10" i="1"/>
  <c r="AJ10" i="1"/>
  <c r="AM69" i="1"/>
  <c r="AK69" i="1"/>
  <c r="AJ69" i="1"/>
  <c r="AM8" i="1"/>
  <c r="AK8" i="1"/>
  <c r="AJ8" i="1"/>
  <c r="AM70" i="1"/>
  <c r="AK70" i="1"/>
  <c r="AJ70" i="1"/>
  <c r="AM6" i="1"/>
  <c r="AK6" i="1"/>
  <c r="AJ6" i="1"/>
  <c r="G15" i="6" l="1"/>
  <c r="E25" i="6"/>
  <c r="H34" i="6"/>
  <c r="G47" i="6"/>
  <c r="I45" i="6"/>
  <c r="J19" i="6"/>
  <c r="E5" i="6"/>
  <c r="H6" i="6"/>
  <c r="F8" i="6"/>
  <c r="G11" i="6"/>
  <c r="E13" i="6"/>
  <c r="H14" i="6"/>
  <c r="F16" i="6"/>
  <c r="G19" i="6"/>
  <c r="E21" i="6"/>
  <c r="H22" i="6"/>
  <c r="F24" i="6"/>
  <c r="G27" i="6"/>
  <c r="E29" i="6"/>
  <c r="H30" i="6"/>
  <c r="F32" i="6"/>
  <c r="G35" i="6"/>
  <c r="E37" i="6"/>
  <c r="H38" i="6"/>
  <c r="F40" i="6"/>
  <c r="K41" i="6"/>
  <c r="G43" i="6"/>
  <c r="E45" i="6"/>
  <c r="H46" i="6"/>
  <c r="F48" i="6"/>
  <c r="G51" i="6"/>
  <c r="E53" i="6"/>
  <c r="H54" i="6"/>
  <c r="F56" i="6"/>
  <c r="G59" i="6"/>
  <c r="E61" i="6"/>
  <c r="H62" i="6"/>
  <c r="F64" i="6"/>
  <c r="K65" i="6"/>
  <c r="G67" i="6"/>
  <c r="E69" i="6"/>
  <c r="H70" i="6"/>
  <c r="F72" i="6"/>
  <c r="G75" i="6"/>
  <c r="E77" i="6"/>
  <c r="H78" i="6"/>
  <c r="F80" i="6"/>
  <c r="K81" i="6"/>
  <c r="G83" i="6"/>
  <c r="E85" i="6"/>
  <c r="H86" i="6"/>
  <c r="I9" i="6"/>
  <c r="I17" i="6"/>
  <c r="I25" i="6"/>
  <c r="I33" i="6"/>
  <c r="I41" i="6"/>
  <c r="I49" i="6"/>
  <c r="I57" i="6"/>
  <c r="I65" i="6"/>
  <c r="I73" i="6"/>
  <c r="I81" i="6"/>
  <c r="J7" i="6"/>
  <c r="J15" i="6"/>
  <c r="J23" i="6"/>
  <c r="J31" i="6"/>
  <c r="J39" i="6"/>
  <c r="J47" i="6"/>
  <c r="J55" i="6"/>
  <c r="J63" i="6"/>
  <c r="J71" i="6"/>
  <c r="J79" i="6"/>
  <c r="E9" i="6"/>
  <c r="F20" i="6"/>
  <c r="F36" i="6"/>
  <c r="F52" i="6"/>
  <c r="H82" i="6"/>
  <c r="I37" i="6"/>
  <c r="J35" i="6"/>
  <c r="F5" i="6"/>
  <c r="K6" i="6"/>
  <c r="G8" i="6"/>
  <c r="E10" i="6"/>
  <c r="H11" i="6"/>
  <c r="F13" i="6"/>
  <c r="G16" i="6"/>
  <c r="E18" i="6"/>
  <c r="H19" i="6"/>
  <c r="F21" i="6"/>
  <c r="G24" i="6"/>
  <c r="E26" i="6"/>
  <c r="H27" i="6"/>
  <c r="F29" i="6"/>
  <c r="K30" i="6"/>
  <c r="G32" i="6"/>
  <c r="E34" i="6"/>
  <c r="H35" i="6"/>
  <c r="F37" i="6"/>
  <c r="G40" i="6"/>
  <c r="E42" i="6"/>
  <c r="H43" i="6"/>
  <c r="F45" i="6"/>
  <c r="K46" i="6"/>
  <c r="G48" i="6"/>
  <c r="E50" i="6"/>
  <c r="H51" i="6"/>
  <c r="F53" i="6"/>
  <c r="G56" i="6"/>
  <c r="E58" i="6"/>
  <c r="H59" i="6"/>
  <c r="F61" i="6"/>
  <c r="G64" i="6"/>
  <c r="E66" i="6"/>
  <c r="H67" i="6"/>
  <c r="F69" i="6"/>
  <c r="G72" i="6"/>
  <c r="E74" i="6"/>
  <c r="H75" i="6"/>
  <c r="F77" i="6"/>
  <c r="G80" i="6"/>
  <c r="E82" i="6"/>
  <c r="H83" i="6"/>
  <c r="F85" i="6"/>
  <c r="I10" i="6"/>
  <c r="I18" i="6"/>
  <c r="I26" i="6"/>
  <c r="I34" i="6"/>
  <c r="I42" i="6"/>
  <c r="I50" i="6"/>
  <c r="I58" i="6"/>
  <c r="I66" i="6"/>
  <c r="I74" i="6"/>
  <c r="I82" i="6"/>
  <c r="J8" i="6"/>
  <c r="J16" i="6"/>
  <c r="J24" i="6"/>
  <c r="J32" i="6"/>
  <c r="J40" i="6"/>
  <c r="J48" i="6"/>
  <c r="J56" i="6"/>
  <c r="J64" i="6"/>
  <c r="J72" i="6"/>
  <c r="J80" i="6"/>
  <c r="E33" i="6"/>
  <c r="F44" i="6"/>
  <c r="G55" i="6"/>
  <c r="I21" i="6"/>
  <c r="J51" i="6"/>
  <c r="G5" i="6"/>
  <c r="E7" i="6"/>
  <c r="H8" i="6"/>
  <c r="F10" i="6"/>
  <c r="G13" i="6"/>
  <c r="E15" i="6"/>
  <c r="H16" i="6"/>
  <c r="F18" i="6"/>
  <c r="G21" i="6"/>
  <c r="E23" i="6"/>
  <c r="H24" i="6"/>
  <c r="F26" i="6"/>
  <c r="G29" i="6"/>
  <c r="E31" i="6"/>
  <c r="H32" i="6"/>
  <c r="F34" i="6"/>
  <c r="K35" i="6"/>
  <c r="G37" i="6"/>
  <c r="E39" i="6"/>
  <c r="H40" i="6"/>
  <c r="F42" i="6"/>
  <c r="G45" i="6"/>
  <c r="E47" i="6"/>
  <c r="H48" i="6"/>
  <c r="F50" i="6"/>
  <c r="G53" i="6"/>
  <c r="E55" i="6"/>
  <c r="H56" i="6"/>
  <c r="F58" i="6"/>
  <c r="G61" i="6"/>
  <c r="E63" i="6"/>
  <c r="H64" i="6"/>
  <c r="F66" i="6"/>
  <c r="G69" i="6"/>
  <c r="E71" i="6"/>
  <c r="H72" i="6"/>
  <c r="F74" i="6"/>
  <c r="G77" i="6"/>
  <c r="E79" i="6"/>
  <c r="H80" i="6"/>
  <c r="F82" i="6"/>
  <c r="G85" i="6"/>
  <c r="I86" i="6"/>
  <c r="I11" i="6"/>
  <c r="I19" i="6"/>
  <c r="I27" i="6"/>
  <c r="I35" i="6"/>
  <c r="I43" i="6"/>
  <c r="I51" i="6"/>
  <c r="I59" i="6"/>
  <c r="I67" i="6"/>
  <c r="I75" i="6"/>
  <c r="I83" i="6"/>
  <c r="J9" i="6"/>
  <c r="J17" i="6"/>
  <c r="J25" i="6"/>
  <c r="J33" i="6"/>
  <c r="J41" i="6"/>
  <c r="J49" i="6"/>
  <c r="J57" i="6"/>
  <c r="J65" i="6"/>
  <c r="J73" i="6"/>
  <c r="J81" i="6"/>
  <c r="F12" i="6"/>
  <c r="E41" i="6"/>
  <c r="H50" i="6"/>
  <c r="H58" i="6"/>
  <c r="I29" i="6"/>
  <c r="J43" i="6"/>
  <c r="E4" i="6"/>
  <c r="H5" i="6"/>
  <c r="F7" i="6"/>
  <c r="K8" i="6"/>
  <c r="G10" i="6"/>
  <c r="E12" i="6"/>
  <c r="H13" i="6"/>
  <c r="F15" i="6"/>
  <c r="G18" i="6"/>
  <c r="E20" i="6"/>
  <c r="H21" i="6"/>
  <c r="F23" i="6"/>
  <c r="G26" i="6"/>
  <c r="E28" i="6"/>
  <c r="H29" i="6"/>
  <c r="F31" i="6"/>
  <c r="G34" i="6"/>
  <c r="E36" i="6"/>
  <c r="H37" i="6"/>
  <c r="F39" i="6"/>
  <c r="G42" i="6"/>
  <c r="E44" i="6"/>
  <c r="H45" i="6"/>
  <c r="F47" i="6"/>
  <c r="G50" i="6"/>
  <c r="E52" i="6"/>
  <c r="H53" i="6"/>
  <c r="F55" i="6"/>
  <c r="G58" i="6"/>
  <c r="E60" i="6"/>
  <c r="H61" i="6"/>
  <c r="F63" i="6"/>
  <c r="G66" i="6"/>
  <c r="E68" i="6"/>
  <c r="H69" i="6"/>
  <c r="F71" i="6"/>
  <c r="K72" i="6"/>
  <c r="G74" i="6"/>
  <c r="E76" i="6"/>
  <c r="H77" i="6"/>
  <c r="F79" i="6"/>
  <c r="G82" i="6"/>
  <c r="E84" i="6"/>
  <c r="H85" i="6"/>
  <c r="I4" i="6"/>
  <c r="I12" i="6"/>
  <c r="I20" i="6"/>
  <c r="I28" i="6"/>
  <c r="I36" i="6"/>
  <c r="I44" i="6"/>
  <c r="I52" i="6"/>
  <c r="I60" i="6"/>
  <c r="I68" i="6"/>
  <c r="I76" i="6"/>
  <c r="I84" i="6"/>
  <c r="J10" i="6"/>
  <c r="J18" i="6"/>
  <c r="J26" i="6"/>
  <c r="J34" i="6"/>
  <c r="J42" i="6"/>
  <c r="J50" i="6"/>
  <c r="J58" i="6"/>
  <c r="J66" i="6"/>
  <c r="J74" i="6"/>
  <c r="J82" i="6"/>
  <c r="J83" i="6"/>
  <c r="H10" i="6"/>
  <c r="H18" i="6"/>
  <c r="F28" i="6"/>
  <c r="E57" i="6"/>
  <c r="I13" i="6"/>
  <c r="I53" i="6"/>
  <c r="J59" i="6"/>
  <c r="G4" i="6"/>
  <c r="E6" i="6"/>
  <c r="H7" i="6"/>
  <c r="F9" i="6"/>
  <c r="G12" i="6"/>
  <c r="E14" i="6"/>
  <c r="H15" i="6"/>
  <c r="F17" i="6"/>
  <c r="K18" i="6"/>
  <c r="G20" i="6"/>
  <c r="E22" i="6"/>
  <c r="H23" i="6"/>
  <c r="F25" i="6"/>
  <c r="G28" i="6"/>
  <c r="E30" i="6"/>
  <c r="H31" i="6"/>
  <c r="F33" i="6"/>
  <c r="G36" i="6"/>
  <c r="E38" i="6"/>
  <c r="H39" i="6"/>
  <c r="F41" i="6"/>
  <c r="K42" i="6"/>
  <c r="G44" i="6"/>
  <c r="E46" i="6"/>
  <c r="H47" i="6"/>
  <c r="F49" i="6"/>
  <c r="G52" i="6"/>
  <c r="E54" i="6"/>
  <c r="H55" i="6"/>
  <c r="F57" i="6"/>
  <c r="G60" i="6"/>
  <c r="E62" i="6"/>
  <c r="H63" i="6"/>
  <c r="F65" i="6"/>
  <c r="K66" i="6"/>
  <c r="G68" i="6"/>
  <c r="E70" i="6"/>
  <c r="H71" i="6"/>
  <c r="F73" i="6"/>
  <c r="G76" i="6"/>
  <c r="E78" i="6"/>
  <c r="H79" i="6"/>
  <c r="F81" i="6"/>
  <c r="G84" i="6"/>
  <c r="E86" i="6"/>
  <c r="I6" i="6"/>
  <c r="I14" i="6"/>
  <c r="I22" i="6"/>
  <c r="I30" i="6"/>
  <c r="I38" i="6"/>
  <c r="I46" i="6"/>
  <c r="I54" i="6"/>
  <c r="I62" i="6"/>
  <c r="I70" i="6"/>
  <c r="I78" i="6"/>
  <c r="J4" i="6"/>
  <c r="J12" i="6"/>
  <c r="J20" i="6"/>
  <c r="J28" i="6"/>
  <c r="J36" i="6"/>
  <c r="J44" i="6"/>
  <c r="J52" i="6"/>
  <c r="J60" i="6"/>
  <c r="J68" i="6"/>
  <c r="J76" i="6"/>
  <c r="J84" i="6"/>
  <c r="G7" i="6"/>
  <c r="E17" i="6"/>
  <c r="H26" i="6"/>
  <c r="G39" i="6"/>
  <c r="E49" i="6"/>
  <c r="I5" i="6"/>
  <c r="I77" i="6"/>
  <c r="J11" i="6"/>
  <c r="H4" i="6"/>
  <c r="F6" i="6"/>
  <c r="K7" i="6"/>
  <c r="G9" i="6"/>
  <c r="E11" i="6"/>
  <c r="H12" i="6"/>
  <c r="F14" i="6"/>
  <c r="G17" i="6"/>
  <c r="E19" i="6"/>
  <c r="H20" i="6"/>
  <c r="F22" i="6"/>
  <c r="G25" i="6"/>
  <c r="E27" i="6"/>
  <c r="H28" i="6"/>
  <c r="F30" i="6"/>
  <c r="G33" i="6"/>
  <c r="E35" i="6"/>
  <c r="H36" i="6"/>
  <c r="F38" i="6"/>
  <c r="K39" i="6"/>
  <c r="G41" i="6"/>
  <c r="E43" i="6"/>
  <c r="H44" i="6"/>
  <c r="F46" i="6"/>
  <c r="K47" i="6"/>
  <c r="G49" i="6"/>
  <c r="E51" i="6"/>
  <c r="H52" i="6"/>
  <c r="F54" i="6"/>
  <c r="G57" i="6"/>
  <c r="E59" i="6"/>
  <c r="H60" i="6"/>
  <c r="F62" i="6"/>
  <c r="G65" i="6"/>
  <c r="E67" i="6"/>
  <c r="H68" i="6"/>
  <c r="F70" i="6"/>
  <c r="G73" i="6"/>
  <c r="E75" i="6"/>
  <c r="H76" i="6"/>
  <c r="F78" i="6"/>
  <c r="G81" i="6"/>
  <c r="E83" i="6"/>
  <c r="H84" i="6"/>
  <c r="F86" i="6"/>
  <c r="I7" i="6"/>
  <c r="I15" i="6"/>
  <c r="I23" i="6"/>
  <c r="I31" i="6"/>
  <c r="I39" i="6"/>
  <c r="I47" i="6"/>
  <c r="I55" i="6"/>
  <c r="I63" i="6"/>
  <c r="I71" i="6"/>
  <c r="I79" i="6"/>
  <c r="J5" i="6"/>
  <c r="J13" i="6"/>
  <c r="J21" i="6"/>
  <c r="J29" i="6"/>
  <c r="J37" i="6"/>
  <c r="J45" i="6"/>
  <c r="J53" i="6"/>
  <c r="J61" i="6"/>
  <c r="J69" i="6"/>
  <c r="J77" i="6"/>
  <c r="J85" i="6"/>
  <c r="F4" i="6"/>
  <c r="G23" i="6"/>
  <c r="G31" i="6"/>
  <c r="H42" i="6"/>
  <c r="K53" i="6"/>
  <c r="J27" i="6"/>
  <c r="G6" i="6"/>
  <c r="E8" i="6"/>
  <c r="H9" i="6"/>
  <c r="F11" i="6"/>
  <c r="G14" i="6"/>
  <c r="E16" i="6"/>
  <c r="H17" i="6"/>
  <c r="F19" i="6"/>
  <c r="G22" i="6"/>
  <c r="E24" i="6"/>
  <c r="H25" i="6"/>
  <c r="F27" i="6"/>
  <c r="K28" i="6"/>
  <c r="G30" i="6"/>
  <c r="E32" i="6"/>
  <c r="H33" i="6"/>
  <c r="F35" i="6"/>
  <c r="G38" i="6"/>
  <c r="E40" i="6"/>
  <c r="H41" i="6"/>
  <c r="F43" i="6"/>
  <c r="G46" i="6"/>
  <c r="E48" i="6"/>
  <c r="H49" i="6"/>
  <c r="F51" i="6"/>
  <c r="K52" i="6"/>
  <c r="G54" i="6"/>
  <c r="E56" i="6"/>
  <c r="H57" i="6"/>
  <c r="G62" i="6"/>
  <c r="E64" i="6"/>
  <c r="H65" i="6"/>
  <c r="F67" i="6"/>
  <c r="K68" i="6"/>
  <c r="G70" i="6"/>
  <c r="E72" i="6"/>
  <c r="H73" i="6"/>
  <c r="F75" i="6"/>
  <c r="G78" i="6"/>
  <c r="E80" i="6"/>
  <c r="H81" i="6"/>
  <c r="F83" i="6"/>
  <c r="G86" i="6"/>
  <c r="I8" i="6"/>
  <c r="I16" i="6"/>
  <c r="I24" i="6"/>
  <c r="I32" i="6"/>
  <c r="I40" i="6"/>
  <c r="I48" i="6"/>
  <c r="I56" i="6"/>
  <c r="I64" i="6"/>
  <c r="I72" i="6"/>
  <c r="I80" i="6"/>
  <c r="J6" i="6"/>
  <c r="J14" i="6"/>
  <c r="J22" i="6"/>
  <c r="J30" i="6"/>
  <c r="J38" i="6"/>
  <c r="J46" i="6"/>
  <c r="J54" i="6"/>
  <c r="J62" i="6"/>
  <c r="J70" i="6"/>
  <c r="J78" i="6"/>
  <c r="M74" i="1"/>
  <c r="K69" i="6" s="1"/>
  <c r="Z74" i="1"/>
  <c r="Z5" i="1"/>
  <c r="M72" i="1"/>
  <c r="K67" i="6" s="1"/>
  <c r="Z72" i="1"/>
  <c r="M36" i="1"/>
  <c r="K34" i="6" s="1"/>
  <c r="Z36" i="1"/>
  <c r="M30" i="1"/>
  <c r="K29" i="6" s="1"/>
  <c r="Z30" i="1"/>
  <c r="M37" i="1"/>
  <c r="Z35" i="1"/>
  <c r="Z90" i="1"/>
  <c r="Z42" i="1"/>
  <c r="Z56" i="1"/>
  <c r="Z41" i="1"/>
  <c r="Z38" i="1"/>
  <c r="Z2" i="1"/>
  <c r="Z70" i="1"/>
  <c r="Z45" i="1"/>
  <c r="Z8" i="1"/>
  <c r="Z33" i="1"/>
  <c r="Z80" i="1"/>
  <c r="Z7" i="1"/>
  <c r="Z79" i="1"/>
  <c r="Z55" i="1"/>
  <c r="Z88" i="1"/>
  <c r="Z81" i="1"/>
  <c r="Z73" i="1"/>
  <c r="Z26" i="1"/>
  <c r="Z11" i="1"/>
  <c r="Z78" i="1"/>
  <c r="Z52" i="1"/>
  <c r="Z69" i="1"/>
  <c r="Z23" i="1"/>
  <c r="Z22" i="1"/>
  <c r="Z75" i="1"/>
  <c r="Z61" i="1"/>
  <c r="Z63" i="1"/>
  <c r="Z39" i="1"/>
  <c r="Z58" i="1"/>
  <c r="Z89" i="1"/>
  <c r="Z12" i="1"/>
  <c r="Z91" i="1"/>
  <c r="Z48" i="1"/>
  <c r="Z28" i="1"/>
  <c r="Z13" i="1"/>
  <c r="Z64" i="1"/>
  <c r="Z86" i="1"/>
  <c r="Z66" i="1"/>
  <c r="Z54" i="1"/>
  <c r="Z16" i="1"/>
  <c r="Z59" i="1"/>
  <c r="Z46" i="1"/>
  <c r="Z77" i="1"/>
  <c r="Z49" i="1"/>
  <c r="Z3" i="1"/>
  <c r="Z4" i="1"/>
  <c r="Z76" i="1"/>
  <c r="Z10" i="1"/>
  <c r="Z17" i="1"/>
  <c r="Z47" i="1"/>
  <c r="Z83" i="1"/>
  <c r="Z68" i="1"/>
  <c r="Z85" i="1"/>
  <c r="Z15" i="1"/>
  <c r="Z44" i="1"/>
  <c r="Z60" i="1"/>
  <c r="Z19" i="1"/>
  <c r="Z9" i="1"/>
  <c r="Z31" i="1"/>
  <c r="Z34" i="1"/>
  <c r="Z18" i="1"/>
  <c r="Z57" i="1"/>
  <c r="Z53" i="1"/>
  <c r="Z25" i="1"/>
  <c r="Z65" i="1"/>
  <c r="Z40" i="1"/>
  <c r="Z27" i="1"/>
  <c r="Z71" i="1"/>
  <c r="Z20" i="1"/>
  <c r="Z84" i="1"/>
  <c r="M82" i="1"/>
  <c r="K77" i="6" s="1"/>
  <c r="M27" i="1"/>
  <c r="K27" i="6" s="1"/>
  <c r="M24" i="1"/>
  <c r="K24" i="6" s="1"/>
  <c r="M91" i="1"/>
  <c r="K86" i="6" s="1"/>
  <c r="M39" i="1"/>
  <c r="K36" i="6" s="1"/>
  <c r="M90" i="1"/>
  <c r="K85" i="6" s="1"/>
  <c r="M78" i="1"/>
  <c r="K73" i="6" s="1"/>
  <c r="M76" i="1"/>
  <c r="K71" i="6" s="1"/>
  <c r="M49" i="1"/>
  <c r="K45" i="6" s="1"/>
  <c r="M16" i="1"/>
  <c r="K17" i="6" s="1"/>
  <c r="M79" i="1"/>
  <c r="K74" i="6" s="1"/>
  <c r="M89" i="1"/>
  <c r="K84" i="6" s="1"/>
  <c r="M67" i="1"/>
  <c r="K63" i="6" s="1"/>
  <c r="M46" i="1"/>
  <c r="M57" i="1"/>
  <c r="M35" i="1"/>
  <c r="M80" i="1"/>
  <c r="K75" i="6" s="1"/>
  <c r="M83" i="1"/>
  <c r="K78" i="6" s="1"/>
  <c r="M7" i="1"/>
  <c r="M44" i="1"/>
  <c r="K40" i="6" s="1"/>
  <c r="M40" i="1"/>
  <c r="M25" i="1"/>
  <c r="K25" i="6" s="1"/>
  <c r="M31" i="1"/>
  <c r="M55" i="1"/>
  <c r="K51" i="6" s="1"/>
  <c r="M26" i="1"/>
  <c r="K26" i="6" s="1"/>
  <c r="M47" i="1"/>
  <c r="K43" i="6" s="1"/>
  <c r="M28" i="1"/>
  <c r="M68" i="1"/>
  <c r="K64" i="6" s="1"/>
  <c r="M59" i="1"/>
  <c r="K55" i="6" s="1"/>
  <c r="M21" i="1"/>
  <c r="K21" i="6" s="1"/>
  <c r="M63" i="1"/>
  <c r="K59" i="6" s="1"/>
  <c r="M18" i="1"/>
  <c r="K19" i="6" s="1"/>
  <c r="M15" i="1"/>
  <c r="K16" i="6" s="1"/>
  <c r="M64" i="1"/>
  <c r="K60" i="6" s="1"/>
  <c r="M71" i="1"/>
  <c r="M11" i="1"/>
  <c r="K12" i="6" s="1"/>
  <c r="M3" i="1"/>
  <c r="K5" i="6" s="1"/>
  <c r="M13" i="1"/>
  <c r="K14" i="6" s="1"/>
  <c r="M75" i="1"/>
  <c r="K70" i="6" s="1"/>
  <c r="M53" i="1"/>
  <c r="K49" i="6" s="1"/>
  <c r="M10" i="1"/>
  <c r="K11" i="6" s="1"/>
  <c r="M29" i="1"/>
  <c r="M23" i="1"/>
  <c r="K23" i="6" s="1"/>
  <c r="M19" i="1"/>
  <c r="M58" i="1"/>
  <c r="K54" i="6" s="1"/>
  <c r="M62" i="1"/>
  <c r="K58" i="6" s="1"/>
  <c r="M81" i="1"/>
  <c r="K76" i="6" s="1"/>
  <c r="M32" i="1"/>
  <c r="K31" i="6" s="1"/>
  <c r="M77" i="1"/>
  <c r="M43" i="1"/>
  <c r="M14" i="1"/>
  <c r="K15" i="6" s="1"/>
  <c r="M52" i="1"/>
  <c r="K48" i="6" s="1"/>
  <c r="M45" i="1"/>
  <c r="M38" i="1"/>
  <c r="M34" i="1"/>
  <c r="K33" i="6" s="1"/>
  <c r="M48" i="1"/>
  <c r="K44" i="6" s="1"/>
  <c r="M22" i="1"/>
  <c r="K22" i="6" s="1"/>
  <c r="M88" i="1"/>
  <c r="K83" i="6" s="1"/>
  <c r="M61" i="1"/>
  <c r="K57" i="6" s="1"/>
  <c r="M9" i="1"/>
  <c r="K10" i="6" s="1"/>
  <c r="M33" i="1"/>
  <c r="K32" i="6" s="1"/>
  <c r="M65" i="1"/>
  <c r="K61" i="6" s="1"/>
  <c r="M8" i="1"/>
  <c r="K9" i="6" s="1"/>
  <c r="M84" i="1"/>
  <c r="K79" i="6" s="1"/>
  <c r="M20" i="1"/>
  <c r="K20" i="6" s="1"/>
  <c r="M41" i="1"/>
  <c r="K37" i="6" s="1"/>
  <c r="M2" i="1"/>
  <c r="K4" i="6" s="1"/>
  <c r="M73" i="1"/>
  <c r="M12" i="1"/>
  <c r="K13" i="6" s="1"/>
  <c r="M66" i="1"/>
  <c r="K62" i="6" s="1"/>
  <c r="M54" i="1"/>
  <c r="K50" i="6" s="1"/>
  <c r="M85" i="1"/>
  <c r="K80" i="6" s="1"/>
  <c r="M87" i="1"/>
  <c r="K82" i="6" s="1"/>
  <c r="M60" i="1"/>
  <c r="K56" i="6" s="1"/>
  <c r="M42" i="1"/>
  <c r="K38" i="6" s="1"/>
</calcChain>
</file>

<file path=xl/sharedStrings.xml><?xml version="1.0" encoding="utf-8"?>
<sst xmlns="http://schemas.openxmlformats.org/spreadsheetml/2006/main" count="1859" uniqueCount="664">
  <si>
    <t>Phone</t>
  </si>
  <si>
    <t>First Name</t>
  </si>
  <si>
    <t>#People</t>
  </si>
  <si>
    <t>Notes</t>
  </si>
  <si>
    <t>Days</t>
  </si>
  <si>
    <t>Last Name</t>
  </si>
  <si>
    <t>E-Mail</t>
  </si>
  <si>
    <t>Start</t>
  </si>
  <si>
    <t>Address</t>
  </si>
  <si>
    <t>City</t>
  </si>
  <si>
    <t>ST</t>
  </si>
  <si>
    <t>ZIP</t>
  </si>
  <si>
    <t>P-Days</t>
    <phoneticPr fontId="4"/>
  </si>
  <si>
    <t>Hut</t>
  </si>
  <si>
    <t>Jeff</t>
  </si>
  <si>
    <t>LUD</t>
  </si>
  <si>
    <t>Guild</t>
  </si>
  <si>
    <t>2025/04/21</t>
  </si>
  <si>
    <t>carrier</t>
  </si>
  <si>
    <t>Joe</t>
  </si>
  <si>
    <t>Asnault</t>
  </si>
  <si>
    <t>jguild10@gmail.com</t>
  </si>
  <si>
    <t>jasnault@chicouta.org</t>
  </si>
  <si>
    <t>Charlie</t>
  </si>
  <si>
    <t>Hotz</t>
  </si>
  <si>
    <t>205 Irwin</t>
  </si>
  <si>
    <t>San Rafael</t>
  </si>
  <si>
    <t>CA</t>
  </si>
  <si>
    <t>650-450-2538</t>
  </si>
  <si>
    <t>charlie.hotz@gmail.com</t>
  </si>
  <si>
    <t>BEN</t>
  </si>
  <si>
    <t>2025/07/12</t>
  </si>
  <si>
    <t>San Francisco</t>
  </si>
  <si>
    <t>Steven</t>
  </si>
  <si>
    <t>Pong</t>
  </si>
  <si>
    <t>732 56th St.</t>
  </si>
  <si>
    <t>Oakland</t>
  </si>
  <si>
    <t>646-708-3782</t>
  </si>
  <si>
    <t>stevenpong@gmail.com</t>
  </si>
  <si>
    <t>Michelle</t>
  </si>
  <si>
    <t>Trame</t>
  </si>
  <si>
    <t>522 66th St.</t>
  </si>
  <si>
    <t>310-920-6071</t>
  </si>
  <si>
    <t>notactuallymichelle@gmail.com</t>
  </si>
  <si>
    <t>Laina</t>
  </si>
  <si>
    <t>Hall</t>
  </si>
  <si>
    <t>1949 Rose St.</t>
  </si>
  <si>
    <t>Berkeley</t>
  </si>
  <si>
    <t>906-589-4074</t>
  </si>
  <si>
    <t>Leo</t>
  </si>
  <si>
    <t>1874 Mohican Dr.</t>
  </si>
  <si>
    <t>South Lake Tahoe</t>
  </si>
  <si>
    <t>818-930-2028</t>
  </si>
  <si>
    <t>Stanislaus</t>
  </si>
  <si>
    <t>lainahall606@gmail.com</t>
  </si>
  <si>
    <t>Dick</t>
  </si>
  <si>
    <t>Simpson</t>
  </si>
  <si>
    <t>Matt</t>
  </si>
  <si>
    <t>Alexander</t>
  </si>
  <si>
    <t>Tracy</t>
  </si>
  <si>
    <t>Cuneo</t>
  </si>
  <si>
    <t>Chris</t>
  </si>
  <si>
    <t>Hansen</t>
  </si>
  <si>
    <t>Sam</t>
  </si>
  <si>
    <t>Hoffman</t>
  </si>
  <si>
    <t>James</t>
  </si>
  <si>
    <t>Lindemier</t>
  </si>
  <si>
    <t>Anna</t>
  </si>
  <si>
    <t>O'Malley</t>
  </si>
  <si>
    <t>Greg</t>
  </si>
  <si>
    <t>Prouty</t>
  </si>
  <si>
    <t>Ryan</t>
  </si>
  <si>
    <t>Danielle</t>
  </si>
  <si>
    <t>YoungSmith</t>
  </si>
  <si>
    <t>Jan</t>
  </si>
  <si>
    <t>Vanous</t>
  </si>
  <si>
    <t>650-223-5995</t>
  </si>
  <si>
    <t>720-810-5776</t>
  </si>
  <si>
    <t>775-530-5993</t>
  </si>
  <si>
    <t>802-540-5101</t>
  </si>
  <si>
    <t>916-606-9046</t>
  </si>
  <si>
    <t>916-221-8055</t>
  </si>
  <si>
    <t>301-801-6748</t>
  </si>
  <si>
    <t>650-494-9272</t>
  </si>
  <si>
    <t>hut.coord@yahoo.com</t>
  </si>
  <si>
    <t>matthewwalexander@gmail.com</t>
  </si>
  <si>
    <t>tracy@compnetworks.com</t>
  </si>
  <si>
    <t>chrishansenmd@comcast.net</t>
  </si>
  <si>
    <t>sam.hoffman99@gmail.com</t>
  </si>
  <si>
    <t>djmrtoad@hotmail.com</t>
  </si>
  <si>
    <t>aomalley17@gmail.com</t>
  </si>
  <si>
    <t>gprout009@gmail.com</t>
  </si>
  <si>
    <t>dyoungsmith@gmail.com</t>
  </si>
  <si>
    <t>janv1992@gmail.com</t>
  </si>
  <si>
    <t>530-414-6197</t>
  </si>
  <si>
    <t>831-238-0321</t>
  </si>
  <si>
    <t>720-210-7930</t>
  </si>
  <si>
    <t>PGH</t>
  </si>
  <si>
    <t>2025/07/19</t>
  </si>
  <si>
    <t>Palo Alto</t>
  </si>
  <si>
    <t>Truckee</t>
  </si>
  <si>
    <t>Reno</t>
  </si>
  <si>
    <t>NV</t>
  </si>
  <si>
    <t>3326 Kipling St.</t>
  </si>
  <si>
    <t>Ethan</t>
  </si>
  <si>
    <t>Kennon</t>
  </si>
  <si>
    <t>elk1234567@yahoo.com</t>
  </si>
  <si>
    <t>2025/08/16</t>
  </si>
  <si>
    <t>1270 Storey Ave D</t>
  </si>
  <si>
    <t>Bryn</t>
  </si>
  <si>
    <t>Miller</t>
  </si>
  <si>
    <t>952 Guerror St.</t>
  </si>
  <si>
    <t>978-460-2875</t>
  </si>
  <si>
    <t>bryn.miller117@gmail.com</t>
  </si>
  <si>
    <t>Scott</t>
  </si>
  <si>
    <t>Bennett</t>
  </si>
  <si>
    <t>1476 Valencia - Apt 12</t>
  </si>
  <si>
    <t>650-283-9916</t>
  </si>
  <si>
    <t>Redwood City</t>
  </si>
  <si>
    <t>Danee</t>
  </si>
  <si>
    <t>Kenyon</t>
  </si>
  <si>
    <t>111 N. Rengstorff Ave</t>
  </si>
  <si>
    <t>Mountain View</t>
  </si>
  <si>
    <t>760-859-7653</t>
  </si>
  <si>
    <t>daneemk@gmail.com</t>
  </si>
  <si>
    <t>Veronica</t>
  </si>
  <si>
    <t>Chouinard</t>
  </si>
  <si>
    <t>617-710-7761</t>
  </si>
  <si>
    <t>veronica.chouinard@gmail.com</t>
  </si>
  <si>
    <t>st1993@gmail.com</t>
  </si>
  <si>
    <t>707-315-9872</t>
  </si>
  <si>
    <t>Lewis</t>
  </si>
  <si>
    <t>Chico</t>
  </si>
  <si>
    <t>BRA</t>
  </si>
  <si>
    <t>2025/08/20</t>
  </si>
  <si>
    <t>Oakes</t>
  </si>
  <si>
    <t>1614 Francisco</t>
  </si>
  <si>
    <t>510-331-6654</t>
  </si>
  <si>
    <t>Sacramento</t>
  </si>
  <si>
    <t>Katie</t>
  </si>
  <si>
    <t>McRae</t>
  </si>
  <si>
    <t>1200 Cabrolet Drive</t>
  </si>
  <si>
    <t>Carson City</t>
  </si>
  <si>
    <t>775-220-9792</t>
  </si>
  <si>
    <t>kamcrae@yahoo.com</t>
  </si>
  <si>
    <t>hill_hiker@hotmail.com</t>
  </si>
  <si>
    <t>clewis8255@gmail.com</t>
  </si>
  <si>
    <t>530-370-6424</t>
  </si>
  <si>
    <t>Louis</t>
  </si>
  <si>
    <t>Schueller</t>
  </si>
  <si>
    <t>Kate</t>
  </si>
  <si>
    <t>Radu</t>
  </si>
  <si>
    <t>Stephen</t>
  </si>
  <si>
    <t>McKinley</t>
  </si>
  <si>
    <t>Nick</t>
  </si>
  <si>
    <t>Hunnewell</t>
  </si>
  <si>
    <t>Craig</t>
  </si>
  <si>
    <t>Haupt</t>
  </si>
  <si>
    <t>Noah</t>
  </si>
  <si>
    <t>Budnick</t>
  </si>
  <si>
    <t>louisschueller@gmail.com</t>
  </si>
  <si>
    <t>karadu422@gmail.com</t>
  </si>
  <si>
    <t>mtnmck@gmail.com</t>
  </si>
  <si>
    <t>nickhunnewell@gmail.com</t>
  </si>
  <si>
    <t>craigmhaupt@gmail.com</t>
  </si>
  <si>
    <t>noahbudnick@gmail.com</t>
  </si>
  <si>
    <t>2025/08/23</t>
  </si>
  <si>
    <t>1610 5th St.</t>
  </si>
  <si>
    <t>781-336-8940</t>
  </si>
  <si>
    <t>1141 Vasquez Ave</t>
  </si>
  <si>
    <t>Sunnyvale</t>
  </si>
  <si>
    <t>408-329-3081</t>
  </si>
  <si>
    <t>2720 Curtis St.</t>
  </si>
  <si>
    <t>917-684-7912</t>
  </si>
  <si>
    <t>170 Jersey St.</t>
  </si>
  <si>
    <t>3616 18th St - Unit 3</t>
  </si>
  <si>
    <t>508-314-8721</t>
  </si>
  <si>
    <t>15 Skylonda Drive</t>
  </si>
  <si>
    <t>650-743-5226</t>
  </si>
  <si>
    <t>214-402-3918</t>
  </si>
  <si>
    <t>Isaac</t>
  </si>
  <si>
    <t>Scears</t>
  </si>
  <si>
    <t>iamscears199@aol.com</t>
  </si>
  <si>
    <t>2025/09/11</t>
  </si>
  <si>
    <t>Private WP with ~6 others</t>
  </si>
  <si>
    <t>Tom</t>
  </si>
  <si>
    <t>Hoke</t>
  </si>
  <si>
    <t>Brian</t>
  </si>
  <si>
    <t>Ballinger</t>
  </si>
  <si>
    <t>Tanner</t>
  </si>
  <si>
    <t>Neville</t>
  </si>
  <si>
    <t>Miranda</t>
  </si>
  <si>
    <t>Worrell</t>
  </si>
  <si>
    <t>Eric</t>
  </si>
  <si>
    <t>Liebendorfer</t>
  </si>
  <si>
    <t>Tyler</t>
  </si>
  <si>
    <t>Alves</t>
  </si>
  <si>
    <t>hoketc11@gmail.com</t>
  </si>
  <si>
    <t>tracyballinger@gmail.com</t>
  </si>
  <si>
    <t>tanner.neville@gmail.com</t>
  </si>
  <si>
    <t>tahoemountaintapas@gmail.com</t>
  </si>
  <si>
    <t>2025/09/19</t>
  </si>
  <si>
    <t>Leader</t>
  </si>
  <si>
    <t>Hal</t>
  </si>
  <si>
    <t>Tompkins</t>
  </si>
  <si>
    <t>Sarah-Marie</t>
  </si>
  <si>
    <t>Chan</t>
  </si>
  <si>
    <t>Pofahl</t>
  </si>
  <si>
    <t>Andy</t>
  </si>
  <si>
    <t>Crutchfield</t>
  </si>
  <si>
    <t>Spielman</t>
  </si>
  <si>
    <t>Terri</t>
  </si>
  <si>
    <t>Michel</t>
  </si>
  <si>
    <t>David</t>
  </si>
  <si>
    <t>Passmore</t>
  </si>
  <si>
    <t>Sarah</t>
  </si>
  <si>
    <t>2025/09/20</t>
  </si>
  <si>
    <t>hal_tompkins@yahoo.com</t>
  </si>
  <si>
    <t>510 Molino Dr</t>
  </si>
  <si>
    <t>907-230-4470</t>
  </si>
  <si>
    <t>115 Independence Ct.</t>
  </si>
  <si>
    <t>Grass Valley</t>
  </si>
  <si>
    <t>650-248-8335</t>
  </si>
  <si>
    <t>terri.michel@gmail.com</t>
  </si>
  <si>
    <t>650-215-0374</t>
  </si>
  <si>
    <t>d1passmore@yahoo.com</t>
  </si>
  <si>
    <t>Benjamin</t>
  </si>
  <si>
    <t>301-830-0735</t>
  </si>
  <si>
    <t>ben.spielman1223@gmail.com</t>
  </si>
  <si>
    <t>451 30th Ave</t>
  </si>
  <si>
    <t>925-255-3788</t>
  </si>
  <si>
    <t>kapofahl@gmail.com</t>
  </si>
  <si>
    <t>687 Sand Harbor Rd</t>
  </si>
  <si>
    <t>913-481-1918</t>
  </si>
  <si>
    <t>ajcrutch@gmail.com</t>
  </si>
  <si>
    <t>MacPherson</t>
  </si>
  <si>
    <t>1350 Pine St.</t>
  </si>
  <si>
    <t>650-334-1015</t>
  </si>
  <si>
    <t>sjmac650@gmail.com</t>
  </si>
  <si>
    <t>2368 21st Ave</t>
  </si>
  <si>
    <t>2025/09/30</t>
  </si>
  <si>
    <t>Amy</t>
  </si>
  <si>
    <t>Burdick</t>
  </si>
  <si>
    <t>10145 Morris Valley Rd</t>
  </si>
  <si>
    <t>578-859-4519</t>
  </si>
  <si>
    <t>Rani</t>
  </si>
  <si>
    <t>301-502-1345</t>
  </si>
  <si>
    <t>amyburdick20@gmail.com</t>
  </si>
  <si>
    <t>liranzimand@gmail.com</t>
  </si>
  <si>
    <t>Kevin</t>
  </si>
  <si>
    <t>Mori</t>
  </si>
  <si>
    <t>ktmori@gmail.com</t>
  </si>
  <si>
    <t>2025/10/04</t>
  </si>
  <si>
    <t>Lexi</t>
  </si>
  <si>
    <t>Arlen</t>
  </si>
  <si>
    <t>2333 Eastridge Ave #1</t>
  </si>
  <si>
    <t>Menlo Park</t>
  </si>
  <si>
    <t>925-309-7104</t>
  </si>
  <si>
    <t>lexiarlen@gmail.com</t>
  </si>
  <si>
    <t>Christie</t>
  </si>
  <si>
    <t>Ciarlo</t>
  </si>
  <si>
    <t>404 Cavar St.</t>
  </si>
  <si>
    <t>407-538-2606</t>
  </si>
  <si>
    <t>christie.a.ciarlo@gmail.com</t>
  </si>
  <si>
    <t>Chen</t>
  </si>
  <si>
    <t>175 Bluxome #223</t>
  </si>
  <si>
    <t>248-321-0848</t>
  </si>
  <si>
    <t>amychen2012@gmail.com</t>
  </si>
  <si>
    <t>Luke</t>
  </si>
  <si>
    <t>1470 25th Ave</t>
  </si>
  <si>
    <t>714-277-9643</t>
  </si>
  <si>
    <t>Robert</t>
  </si>
  <si>
    <t>Lensch</t>
  </si>
  <si>
    <t>15248 Bohelman</t>
  </si>
  <si>
    <t>Saratoga</t>
  </si>
  <si>
    <t>408-893-6751</t>
  </si>
  <si>
    <t>rlensch@yahoo.com</t>
  </si>
  <si>
    <t>Jon</t>
  </si>
  <si>
    <t>Little</t>
  </si>
  <si>
    <t>4057a 24th St</t>
  </si>
  <si>
    <t>802-318-8831</t>
  </si>
  <si>
    <t>jondlittle@gmail.com</t>
  </si>
  <si>
    <t>Nikki</t>
  </si>
  <si>
    <t>Valentine</t>
  </si>
  <si>
    <t>140 Doris Dr.</t>
  </si>
  <si>
    <t>619-971-3254</t>
  </si>
  <si>
    <t>Jake</t>
  </si>
  <si>
    <t>Parkhurst</t>
  </si>
  <si>
    <t>570 Marlestra Rd</t>
  </si>
  <si>
    <t>Pinole</t>
  </si>
  <si>
    <t>510-293-1751</t>
  </si>
  <si>
    <t>jakeisthesnake@gmail.com</t>
  </si>
  <si>
    <t>Shuojing</t>
  </si>
  <si>
    <t>Wang</t>
  </si>
  <si>
    <t>401 Camille Cir #17</t>
  </si>
  <si>
    <t>San Jose</t>
  </si>
  <si>
    <t>512-289-3570</t>
  </si>
  <si>
    <t>shuojingwang@gmail.com</t>
  </si>
  <si>
    <t>Jenny</t>
  </si>
  <si>
    <t>Rempel</t>
  </si>
  <si>
    <t>1545 Dwight</t>
  </si>
  <si>
    <t>559-284-6327</t>
  </si>
  <si>
    <t>jenny.m.rempel@gmail.com</t>
  </si>
  <si>
    <t>Jared</t>
  </si>
  <si>
    <t>Deck</t>
  </si>
  <si>
    <t>9217 Los Puentes</t>
  </si>
  <si>
    <t>Newcastle</t>
  </si>
  <si>
    <t>508-207-5771</t>
  </si>
  <si>
    <t>jdeck8@gmail.com</t>
  </si>
  <si>
    <t>tyler11alves@gmail.com</t>
  </si>
  <si>
    <t>protourchef@hotmail.com</t>
  </si>
  <si>
    <t>3134 Oak Knoll Drive</t>
  </si>
  <si>
    <t>650-400-8351</t>
  </si>
  <si>
    <t>bemcrae@yahoo.com</t>
  </si>
  <si>
    <t>Jason</t>
  </si>
  <si>
    <t>McLachlan</t>
  </si>
  <si>
    <t>Will</t>
  </si>
  <si>
    <t>Smithers</t>
  </si>
  <si>
    <t>Raudabaugh</t>
  </si>
  <si>
    <t>Keith</t>
  </si>
  <si>
    <t>Lemay</t>
  </si>
  <si>
    <t>Alex</t>
  </si>
  <si>
    <t>Newcomb</t>
  </si>
  <si>
    <t>Andreas</t>
  </si>
  <si>
    <t>Jorgensen</t>
  </si>
  <si>
    <t>Rickards</t>
  </si>
  <si>
    <t>Erin</t>
  </si>
  <si>
    <t>Calfee</t>
  </si>
  <si>
    <t>Joshua</t>
  </si>
  <si>
    <t>Foster</t>
  </si>
  <si>
    <t>Kidd</t>
  </si>
  <si>
    <t>Wister</t>
  </si>
  <si>
    <t>Walcott</t>
  </si>
  <si>
    <t>Teddy</t>
  </si>
  <si>
    <t>Koerner</t>
  </si>
  <si>
    <t>propwash876@gmail.com</t>
  </si>
  <si>
    <t>will94574@comcast.net</t>
  </si>
  <si>
    <t>bjraudabaugh@gmail.com</t>
  </si>
  <si>
    <t>keith.lemay@gmail.com</t>
  </si>
  <si>
    <t>Alexwnewcomb@gmail.com</t>
  </si>
  <si>
    <t>Jasonmarteldye@gmail.com</t>
  </si>
  <si>
    <t>Ajorgensen4897@gmail.com</t>
  </si>
  <si>
    <t>rickards050@gmail.com</t>
  </si>
  <si>
    <t>erincalfee@gmail.com</t>
  </si>
  <si>
    <t>joshuafoster1@gmail.com</t>
  </si>
  <si>
    <t>scottwkidd@gmail.com</t>
  </si>
  <si>
    <t>wister@gmail.com</t>
  </si>
  <si>
    <t>tk6174@gmail.com</t>
  </si>
  <si>
    <t>533 Wildwood Way</t>
  </si>
  <si>
    <t>707-363-0444</t>
  </si>
  <si>
    <t>15 Stoneman St.</t>
  </si>
  <si>
    <t>415-713-1422</t>
  </si>
  <si>
    <t>812 Hazel Dr.</t>
  </si>
  <si>
    <t>5264 Minerva Ave</t>
  </si>
  <si>
    <t>916-502-1101</t>
  </si>
  <si>
    <t>4216 8th Ave</t>
  </si>
  <si>
    <t>4101 32nd St.</t>
  </si>
  <si>
    <t>123 Girard Ave</t>
  </si>
  <si>
    <t>Sausalito</t>
  </si>
  <si>
    <t>781-910-3917</t>
  </si>
  <si>
    <t>1915 High Meadow Trail</t>
  </si>
  <si>
    <t>1919 High Meadow Trail</t>
  </si>
  <si>
    <t>920 Carnelian Circle</t>
  </si>
  <si>
    <t>Carnelian Bay</t>
  </si>
  <si>
    <t>925-297-9683</t>
  </si>
  <si>
    <t>857 Ashbury St.</t>
  </si>
  <si>
    <t>415-867-6799</t>
  </si>
  <si>
    <t>1275 McAllister</t>
  </si>
  <si>
    <t>303-956-0501</t>
  </si>
  <si>
    <t>Martin</t>
  </si>
  <si>
    <t xml:space="preserve">Carnogursky </t>
  </si>
  <si>
    <t>Leonard</t>
  </si>
  <si>
    <t>Ciemniecki</t>
  </si>
  <si>
    <t>Hannah</t>
  </si>
  <si>
    <t>Mitchell</t>
  </si>
  <si>
    <t>Rory</t>
  </si>
  <si>
    <t>O'Neill</t>
  </si>
  <si>
    <t>Daniel</t>
  </si>
  <si>
    <t>Nelli</t>
  </si>
  <si>
    <t>Govaerts</t>
  </si>
  <si>
    <t>Mattoon</t>
  </si>
  <si>
    <t>Lauren</t>
  </si>
  <si>
    <t>Tackbary</t>
  </si>
  <si>
    <t>martin.p.carnogursky@gmail.com</t>
  </si>
  <si>
    <t>lciemniecki@gmail.com</t>
  </si>
  <si>
    <t>mitchell.hannah@gmail.com</t>
  </si>
  <si>
    <t>roryoneill6@gmail.com</t>
  </si>
  <si>
    <t>danielnelli05@gmail.com</t>
  </si>
  <si>
    <t>alexgovaerts@hotmail.com</t>
  </si>
  <si>
    <t>smattoon@gmail.com</t>
  </si>
  <si>
    <t>CON</t>
  </si>
  <si>
    <t>2025/10/18</t>
  </si>
  <si>
    <t>1740 Laguna St #401</t>
  </si>
  <si>
    <t>650-722-2931</t>
  </si>
  <si>
    <t>415-601-7101</t>
  </si>
  <si>
    <t>248-925-9102</t>
  </si>
  <si>
    <t>510-282-2108</t>
  </si>
  <si>
    <t>240-705-4959</t>
  </si>
  <si>
    <t>704-868-3288</t>
  </si>
  <si>
    <t>415-610-1754</t>
  </si>
  <si>
    <t>630-408-0591</t>
  </si>
  <si>
    <t>1300 Page #1</t>
  </si>
  <si>
    <t>1690 Bay St - Apt 305</t>
  </si>
  <si>
    <t>415 Sunny Slope Ave</t>
  </si>
  <si>
    <t>874 58th St</t>
  </si>
  <si>
    <t>449 Valle Vista Ave</t>
  </si>
  <si>
    <t>11030 Sundown Place</t>
  </si>
  <si>
    <t>ryanprouty@protonmail.com</t>
  </si>
  <si>
    <t>MUL</t>
  </si>
  <si>
    <t>lauren.tackbary@sierraclub.org</t>
  </si>
  <si>
    <t>Bonham</t>
  </si>
  <si>
    <t>luke.w.bonham@gmail.com</t>
  </si>
  <si>
    <t>chan.sarahmarie@gmail.com</t>
  </si>
  <si>
    <t>leo.stanislas@gmail.com</t>
  </si>
  <si>
    <t>nikkival17@gmail.com</t>
  </si>
  <si>
    <t>831-210-1162</t>
  </si>
  <si>
    <t>problem with e-mail test(?)</t>
  </si>
  <si>
    <t>failed e-mail test (repeatedly)</t>
  </si>
  <si>
    <t>Ldr</t>
  </si>
  <si>
    <t>Received</t>
  </si>
  <si>
    <t>Pref</t>
  </si>
  <si>
    <t>Spaces</t>
  </si>
  <si>
    <t>Alloc?</t>
  </si>
  <si>
    <t>251021t153000</t>
  </si>
  <si>
    <t>YYi</t>
  </si>
  <si>
    <t>DDi</t>
  </si>
  <si>
    <t>MMo</t>
  </si>
  <si>
    <t>D</t>
  </si>
  <si>
    <t>DDo</t>
  </si>
  <si>
    <t>251022t082900</t>
  </si>
  <si>
    <t>Flex?</t>
  </si>
  <si>
    <t>251021t175000</t>
  </si>
  <si>
    <t>DN</t>
  </si>
  <si>
    <t>251021t203400</t>
  </si>
  <si>
    <t>251022t085900</t>
  </si>
  <si>
    <t>L</t>
  </si>
  <si>
    <t>LPC STS</t>
  </si>
  <si>
    <t>251021t205900</t>
  </si>
  <si>
    <t>251021t184700</t>
  </si>
  <si>
    <t>YYo</t>
  </si>
  <si>
    <t>MMi</t>
  </si>
  <si>
    <t>251022t095500</t>
  </si>
  <si>
    <t>510-708-7701</t>
  </si>
  <si>
    <t>251022t104300</t>
  </si>
  <si>
    <t>530-966-5617</t>
  </si>
  <si>
    <t>251022t115000</t>
  </si>
  <si>
    <t>Martel-Dye</t>
  </si>
  <si>
    <t>251022t134000</t>
  </si>
  <si>
    <t>251022t153800</t>
  </si>
  <si>
    <t>HDN</t>
  </si>
  <si>
    <t>251023t061900</t>
  </si>
  <si>
    <t>775-315-5360</t>
  </si>
  <si>
    <t>251023t112400</t>
  </si>
  <si>
    <t>503-330-4897</t>
  </si>
  <si>
    <t>251023t122300</t>
  </si>
  <si>
    <t>530-448-0637</t>
  </si>
  <si>
    <t>251021t130500</t>
  </si>
  <si>
    <t>251023t143345</t>
  </si>
  <si>
    <t>251023t171900</t>
  </si>
  <si>
    <t>251024t022200</t>
  </si>
  <si>
    <t>251024t115000</t>
  </si>
  <si>
    <t>251025t073200</t>
  </si>
  <si>
    <t>251025t195500</t>
  </si>
  <si>
    <t>251026t131100</t>
  </si>
  <si>
    <t>251027t211700</t>
  </si>
  <si>
    <t>251027t215000</t>
  </si>
  <si>
    <t>N</t>
  </si>
  <si>
    <t>251027t223300</t>
  </si>
  <si>
    <t>251028t060000</t>
  </si>
  <si>
    <t>251028t110400</t>
  </si>
  <si>
    <t>251028t113000</t>
  </si>
  <si>
    <t>251028t114100</t>
  </si>
  <si>
    <t>251028t132400</t>
  </si>
  <si>
    <t>251028t212100</t>
  </si>
  <si>
    <t>251029t042900</t>
  </si>
  <si>
    <t>251029t102600</t>
  </si>
  <si>
    <t>251029t135900</t>
  </si>
  <si>
    <t>804-441-5844</t>
  </si>
  <si>
    <t>251029t123100</t>
  </si>
  <si>
    <t>251029t125700</t>
  </si>
  <si>
    <t>251029t123700</t>
  </si>
  <si>
    <t>251029t144100</t>
  </si>
  <si>
    <t>251029t151000</t>
  </si>
  <si>
    <t>251029t154700</t>
  </si>
  <si>
    <t>251029t174600</t>
  </si>
  <si>
    <t>251029t185900</t>
  </si>
  <si>
    <t>251029t193500</t>
  </si>
  <si>
    <t>251029t215600</t>
  </si>
  <si>
    <t>251030t083400</t>
  </si>
  <si>
    <t>775-230-4338</t>
  </si>
  <si>
    <t>251030t145900</t>
  </si>
  <si>
    <t>251030t170100</t>
  </si>
  <si>
    <t>251030t190700</t>
  </si>
  <si>
    <t>251030t193600</t>
  </si>
  <si>
    <t>510-612-1486</t>
  </si>
  <si>
    <t>385-487-3057</t>
  </si>
  <si>
    <t>HD</t>
  </si>
  <si>
    <t>251030t202000</t>
  </si>
  <si>
    <t>251030t212700</t>
  </si>
  <si>
    <t>630-310-9004</t>
  </si>
  <si>
    <t>251030t213200</t>
  </si>
  <si>
    <t>251030t215200</t>
  </si>
  <si>
    <t>251030t215500</t>
  </si>
  <si>
    <t>251031t060400</t>
  </si>
  <si>
    <t>251031t003100</t>
  </si>
  <si>
    <t>251031t003700</t>
  </si>
  <si>
    <t>251031t094900</t>
  </si>
  <si>
    <t>251031t100500</t>
  </si>
  <si>
    <t>251031t110700</t>
  </si>
  <si>
    <t>251031t124000</t>
  </si>
  <si>
    <t>251031t125300</t>
  </si>
  <si>
    <t>251031t140700</t>
  </si>
  <si>
    <t>251031t163200</t>
  </si>
  <si>
    <t>251031t155300</t>
  </si>
  <si>
    <t>251031t200600</t>
  </si>
  <si>
    <t>251031t204800</t>
  </si>
  <si>
    <t>530-220-3968</t>
  </si>
  <si>
    <t>251031t210700</t>
  </si>
  <si>
    <t>530-913-8619</t>
  </si>
  <si>
    <t>251101t084800</t>
  </si>
  <si>
    <t>251101t094545</t>
  </si>
  <si>
    <t>251027t105300</t>
  </si>
  <si>
    <t>510-919-5705</t>
  </si>
  <si>
    <t>Y</t>
  </si>
  <si>
    <t>YF</t>
  </si>
  <si>
    <t>Round2</t>
  </si>
  <si>
    <t>S1</t>
  </si>
  <si>
    <t>251103t064300</t>
  </si>
  <si>
    <t>251103t070200</t>
  </si>
  <si>
    <t>251103t080300</t>
  </si>
  <si>
    <t>251103t094500</t>
  </si>
  <si>
    <t>S2</t>
  </si>
  <si>
    <t>Wolfowitz</t>
  </si>
  <si>
    <t>301-642-6473</t>
  </si>
  <si>
    <t>dwolfowitz@gmail.com</t>
  </si>
  <si>
    <t>251103t094300</t>
  </si>
  <si>
    <t>251103t120300</t>
  </si>
  <si>
    <t>declined</t>
  </si>
  <si>
    <t>251103t180200</t>
  </si>
  <si>
    <t>completed</t>
  </si>
  <si>
    <t>251105t223600</t>
  </si>
  <si>
    <t>251106t060800</t>
  </si>
  <si>
    <t>Zimand</t>
  </si>
  <si>
    <t>251106t064100</t>
  </si>
  <si>
    <t>251106t184300</t>
  </si>
  <si>
    <t>510-880-9995</t>
  </si>
  <si>
    <t>360-510-5824</t>
  </si>
  <si>
    <t>530-848-8071</t>
  </si>
  <si>
    <t>Holly</t>
  </si>
  <si>
    <t>251108t083300</t>
  </si>
  <si>
    <t>225-505-0593</t>
  </si>
  <si>
    <t>251108t113400</t>
  </si>
  <si>
    <t>holly.ratcliff@gmail.com</t>
  </si>
  <si>
    <t>Special</t>
  </si>
  <si>
    <t>Nights</t>
  </si>
  <si>
    <t>Arrival</t>
  </si>
  <si>
    <t>Departure</t>
  </si>
  <si>
    <t>Choice_Number</t>
  </si>
  <si>
    <t>Spots_ideal</t>
  </si>
  <si>
    <t>Spots_min</t>
  </si>
  <si>
    <t>Hut_granted</t>
  </si>
  <si>
    <t>Spots_granted</t>
  </si>
  <si>
    <t>Status</t>
  </si>
  <si>
    <t>Confirmed_How</t>
  </si>
  <si>
    <t>Creation_date</t>
  </si>
  <si>
    <t>Last_mod_date</t>
  </si>
  <si>
    <t>Requestor_ID</t>
  </si>
  <si>
    <t>Benson</t>
  </si>
  <si>
    <t>Bradley</t>
  </si>
  <si>
    <t>Grubb</t>
  </si>
  <si>
    <t>Ludlow</t>
  </si>
  <si>
    <t>#VALUE!</t>
  </si>
  <si>
    <t>(blank)</t>
  </si>
  <si>
    <t>Grand Total</t>
  </si>
  <si>
    <t>Row Labels</t>
  </si>
  <si>
    <t>Email</t>
  </si>
  <si>
    <t>Credits</t>
  </si>
  <si>
    <t>code_generated_when</t>
  </si>
  <si>
    <t>Admin</t>
  </si>
  <si>
    <t>last_failed_login</t>
  </si>
  <si>
    <t>first_name</t>
  </si>
  <si>
    <t>last_name</t>
  </si>
  <si>
    <t>State</t>
  </si>
  <si>
    <t/>
  </si>
  <si>
    <t>Max of P-Days</t>
  </si>
  <si>
    <t>Min of P-Days</t>
  </si>
  <si>
    <t>2027-02-06</t>
  </si>
  <si>
    <t>2027-02-07</t>
  </si>
  <si>
    <t>2027-01-16</t>
  </si>
  <si>
    <t>2027-01-18</t>
  </si>
  <si>
    <t>2027-03-12</t>
  </si>
  <si>
    <t>2027-03-13</t>
  </si>
  <si>
    <t>2027-03-14</t>
  </si>
  <si>
    <t>2027-01-29</t>
  </si>
  <si>
    <t>2027-01-31</t>
  </si>
  <si>
    <t>2027-03-05</t>
  </si>
  <si>
    <t>2027-03-07</t>
  </si>
  <si>
    <t>2027-01-15</t>
  </si>
  <si>
    <t>2027-01-23</t>
  </si>
  <si>
    <t>2027-01-25</t>
  </si>
  <si>
    <t>2027-01-14</t>
  </si>
  <si>
    <t>2027-01-17</t>
  </si>
  <si>
    <t>2027-03-16</t>
  </si>
  <si>
    <t>2027-02-26</t>
  </si>
  <si>
    <t>2027-03-01</t>
  </si>
  <si>
    <t>2027-02-12</t>
  </si>
  <si>
    <t>2027-02-13</t>
  </si>
  <si>
    <t>2027-04-24</t>
  </si>
  <si>
    <t>2027-04-26</t>
  </si>
  <si>
    <t>2027-03-19</t>
  </si>
  <si>
    <t>2027-03-21</t>
  </si>
  <si>
    <t>2027-03-09</t>
  </si>
  <si>
    <t>2027-03-11</t>
  </si>
  <si>
    <t>2027-02-15</t>
  </si>
  <si>
    <t>2027-04-09</t>
  </si>
  <si>
    <t>2027-04-11</t>
  </si>
  <si>
    <t>2026-12-29</t>
  </si>
  <si>
    <t>2026-12-31</t>
  </si>
  <si>
    <t>2027-01-19</t>
  </si>
  <si>
    <t>2027-02-09</t>
  </si>
  <si>
    <t>2027-02-27</t>
  </si>
  <si>
    <t>2027-02-28</t>
  </si>
  <si>
    <t>2027-03-20</t>
  </si>
  <si>
    <t>2027-01-22</t>
  </si>
  <si>
    <t>2027-01-24</t>
  </si>
  <si>
    <t>2027-02-05</t>
  </si>
  <si>
    <t>2027-04-16</t>
  </si>
  <si>
    <t>2027-04-18</t>
  </si>
  <si>
    <t>2027-02-04</t>
  </si>
  <si>
    <t>2027-03-27</t>
  </si>
  <si>
    <t>2027-03-29</t>
  </si>
  <si>
    <t>2027-02-19</t>
  </si>
  <si>
    <t>2027-02-21</t>
  </si>
  <si>
    <t>2027-03-24</t>
  </si>
  <si>
    <t>2027-03-26</t>
  </si>
  <si>
    <t>2027-01-02</t>
  </si>
  <si>
    <t>2027-03-06</t>
  </si>
  <si>
    <t>2027-02-20</t>
  </si>
  <si>
    <t>2027-02-22</t>
  </si>
  <si>
    <t>2027-01-20</t>
  </si>
  <si>
    <t>2027-03-02</t>
  </si>
  <si>
    <t>2027-02-18</t>
  </si>
  <si>
    <t>2027-04-02</t>
  </si>
  <si>
    <t>2027-04-04</t>
  </si>
  <si>
    <t>2027-03-28</t>
  </si>
  <si>
    <t>2027-04-03</t>
  </si>
  <si>
    <t>2027-04-05</t>
  </si>
  <si>
    <t>2027-02-16</t>
  </si>
  <si>
    <t>2027-01-01</t>
  </si>
  <si>
    <t>2027-01-03</t>
  </si>
  <si>
    <t>2027-02-23</t>
  </si>
  <si>
    <t>2027-04-17</t>
  </si>
  <si>
    <t>2027-04-19</t>
  </si>
  <si>
    <t>2027-01-11</t>
  </si>
  <si>
    <t>2026-12-18</t>
  </si>
  <si>
    <t>2026-12-20</t>
  </si>
  <si>
    <t>2027-03-04</t>
  </si>
  <si>
    <t>2027-03-18</t>
  </si>
  <si>
    <t>address</t>
  </si>
  <si>
    <t>city</t>
  </si>
  <si>
    <t>state</t>
  </si>
  <si>
    <t>zip</t>
  </si>
  <si>
    <t>Comments</t>
  </si>
  <si>
    <t>login_code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</si>
</sst>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General"/>
    <numFmt numFmtId="165" formatCode="yyyy\-mm\-dd;@"/>
  </numFmts>
  <fonts count="18">
    <font>
      <sz val="9"/>
      <name val="Geneva"/>
    </font>
    <font>
      <b/>
      <sz val="9"/>
      <name val="Geneva"/>
      <family val="2"/>
    </font>
    <font>
      <sz val="9"/>
      <name val="Geneva"/>
      <family val="2"/>
    </font>
    <font>
      <u/>
      <sz val="9"/>
      <color indexed="12"/>
      <name val="Geneva"/>
      <family val="2"/>
    </font>
    <font>
      <sz val="8"/>
      <name val="Verdana"/>
      <family val="2"/>
    </font>
    <font>
      <sz val="11"/>
      <color rgb="FF000000"/>
      <name val="Calibri"/>
      <family val="2"/>
    </font>
    <font>
      <u/>
      <sz val="11"/>
      <color rgb="FF0000FF"/>
      <name val="Calibri"/>
      <family val="2"/>
    </font>
    <font>
      <sz val="9"/>
      <color theme="1"/>
      <name val="Geneva"/>
      <family val="2"/>
    </font>
    <font>
      <sz val="9"/>
      <color rgb="FF1D2228"/>
      <name val="Geneva"/>
      <family val="2"/>
    </font>
    <font>
      <u/>
      <sz val="9"/>
      <color theme="10"/>
      <name val="Geneva"/>
      <family val="2"/>
    </font>
    <font>
      <sz val="9"/>
      <color rgb="FF1D1D1D"/>
      <name val="Geneva"/>
      <family val="2"/>
    </font>
    <font>
      <sz val="9"/>
      <color rgb="FF767676"/>
      <name val="Geneva"/>
      <family val="2"/>
    </font>
    <font>
      <sz val="9"/>
      <color rgb="FF767676"/>
      <name val="Geneva"/>
      <family val="2"/>
    </font>
    <font>
      <sz val="9"/>
      <color indexed="8"/>
      <name val="Geneva"/>
      <family val="2"/>
    </font>
    <font>
      <sz val="9"/>
      <color rgb="FF595959"/>
      <name val="Geneva"/>
      <family val="2"/>
    </font>
    <font>
      <sz val="10"/>
      <color theme="1"/>
      <name val="Calibri"/>
      <family val="2"/>
      <scheme val="minor"/>
    </font>
    <font>
      <sz val="9"/>
      <color rgb="FFFF0000"/>
      <name val="Geneva"/>
      <family val="2"/>
    </font>
    <font>
      <b/>
      <sz val="9"/>
      <color theme="1"/>
      <name val="Geneva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164" fontId="5" fillId="0" borderId="0"/>
    <xf numFmtId="164" fontId="6" fillId="0" borderId="0"/>
  </cellStyleXfs>
  <cellXfs count="89">
    <xf numFmtId="0" fontId="0" fillId="0" borderId="0" xfId="0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49" fontId="2" fillId="0" borderId="0" xfId="0" applyNumberFormat="1" applyFont="1"/>
    <xf numFmtId="0" fontId="2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3" fillId="0" borderId="0" xfId="1" applyAlignment="1" applyProtection="1"/>
    <xf numFmtId="0" fontId="8" fillId="0" borderId="0" xfId="0" applyFont="1"/>
    <xf numFmtId="0" fontId="3" fillId="0" borderId="0" xfId="1" applyAlignment="1" applyProtection="1">
      <alignment horizontal="left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/>
    </xf>
    <xf numFmtId="0" fontId="11" fillId="0" borderId="0" xfId="0" applyFont="1"/>
    <xf numFmtId="0" fontId="7" fillId="0" borderId="0" xfId="0" applyFont="1"/>
    <xf numFmtId="0" fontId="7" fillId="0" borderId="1" xfId="0" applyFont="1" applyBorder="1" applyAlignment="1">
      <alignment vertical="center" wrapText="1"/>
    </xf>
    <xf numFmtId="0" fontId="11" fillId="0" borderId="0" xfId="0" applyFont="1" applyAlignment="1">
      <alignment horizontal="left"/>
    </xf>
    <xf numFmtId="0" fontId="7" fillId="0" borderId="0" xfId="0" applyFont="1" applyAlignment="1">
      <alignment horizontal="left" vertical="center"/>
    </xf>
    <xf numFmtId="0" fontId="12" fillId="0" borderId="0" xfId="0" applyFont="1"/>
    <xf numFmtId="49" fontId="13" fillId="2" borderId="0" xfId="0" applyNumberFormat="1" applyFont="1" applyFill="1" applyAlignment="1">
      <alignment horizontal="left" vertical="center"/>
    </xf>
    <xf numFmtId="0" fontId="10" fillId="0" borderId="0" xfId="0" applyFont="1"/>
    <xf numFmtId="0" fontId="3" fillId="0" borderId="0" xfId="1" applyAlignment="1" applyProtection="1">
      <alignment vertic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vertical="center" wrapText="1"/>
    </xf>
    <xf numFmtId="0" fontId="3" fillId="0" borderId="0" xfId="1" applyAlignment="1" applyProtection="1">
      <alignment vertical="center" wrapText="1"/>
    </xf>
    <xf numFmtId="0" fontId="15" fillId="0" borderId="1" xfId="0" applyFont="1" applyBorder="1" applyAlignment="1">
      <alignment vertical="center" wrapText="1"/>
    </xf>
    <xf numFmtId="0" fontId="2" fillId="0" borderId="1" xfId="0" applyFont="1" applyBorder="1"/>
    <xf numFmtId="0" fontId="7" fillId="0" borderId="0" xfId="0" applyFont="1" applyAlignment="1">
      <alignment vertical="center" wrapText="1"/>
    </xf>
    <xf numFmtId="49" fontId="13" fillId="2" borderId="1" xfId="0" applyNumberFormat="1" applyFont="1" applyFill="1" applyBorder="1" applyAlignment="1">
      <alignment horizontal="left" vertical="center"/>
    </xf>
    <xf numFmtId="0" fontId="1" fillId="0" borderId="1" xfId="0" applyFont="1" applyBorder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9" fillId="0" borderId="0" xfId="1" applyFont="1" applyBorder="1" applyAlignment="1" applyProtection="1">
      <alignment vertical="center" wrapText="1"/>
    </xf>
    <xf numFmtId="0" fontId="3" fillId="0" borderId="1" xfId="1" applyBorder="1" applyAlignment="1" applyProtection="1">
      <alignment horizontal="left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3" borderId="0" xfId="0" applyFont="1" applyFill="1" applyAlignment="1">
      <alignment vertical="center"/>
    </xf>
    <xf numFmtId="0" fontId="2" fillId="3" borderId="0" xfId="0" applyFont="1" applyFill="1"/>
    <xf numFmtId="0" fontId="2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/>
    </xf>
    <xf numFmtId="49" fontId="2" fillId="3" borderId="0" xfId="0" applyNumberFormat="1" applyFont="1" applyFill="1"/>
    <xf numFmtId="0" fontId="3" fillId="3" borderId="0" xfId="1" applyFill="1" applyAlignment="1" applyProtection="1">
      <alignment horizontal="left"/>
    </xf>
    <xf numFmtId="0" fontId="7" fillId="3" borderId="0" xfId="0" applyFont="1" applyFill="1" applyAlignment="1">
      <alignment vertical="center" wrapText="1"/>
    </xf>
    <xf numFmtId="0" fontId="3" fillId="3" borderId="0" xfId="1" applyFill="1" applyAlignment="1" applyProtection="1">
      <alignment vertical="center"/>
    </xf>
    <xf numFmtId="49" fontId="13" fillId="3" borderId="0" xfId="0" applyNumberFormat="1" applyFont="1" applyFill="1" applyAlignment="1">
      <alignment horizontal="left" vertical="center"/>
    </xf>
    <xf numFmtId="0" fontId="2" fillId="3" borderId="1" xfId="0" applyFont="1" applyFill="1" applyBorder="1"/>
    <xf numFmtId="0" fontId="3" fillId="0" borderId="0" xfId="1" applyBorder="1" applyAlignment="1" applyProtection="1">
      <alignment horizontal="left"/>
    </xf>
    <xf numFmtId="0" fontId="3" fillId="0" borderId="1" xfId="1" applyBorder="1" applyAlignment="1" applyProtection="1"/>
    <xf numFmtId="0" fontId="7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left"/>
    </xf>
    <xf numFmtId="0" fontId="3" fillId="3" borderId="0" xfId="1" applyFill="1" applyBorder="1" applyAlignment="1" applyProtection="1">
      <alignment vertical="center"/>
    </xf>
    <xf numFmtId="0" fontId="3" fillId="3" borderId="1" xfId="1" applyFill="1" applyBorder="1" applyAlignment="1" applyProtection="1">
      <alignment horizontal="left"/>
    </xf>
    <xf numFmtId="0" fontId="3" fillId="0" borderId="0" xfId="1" applyBorder="1" applyAlignment="1" applyProtection="1"/>
    <xf numFmtId="0" fontId="3" fillId="0" borderId="0" xfId="1" applyFill="1" applyAlignment="1" applyProtection="1">
      <alignment vertical="center"/>
    </xf>
    <xf numFmtId="49" fontId="2" fillId="0" borderId="0" xfId="0" applyNumberFormat="1" applyFont="1" applyAlignment="1">
      <alignment horizontal="center" vertical="center"/>
    </xf>
    <xf numFmtId="49" fontId="7" fillId="0" borderId="0" xfId="0" applyNumberFormat="1" applyFont="1" applyAlignment="1">
      <alignment horizontal="center" vertical="center" wrapText="1"/>
    </xf>
    <xf numFmtId="0" fontId="1" fillId="4" borderId="0" xfId="0" applyFont="1" applyFill="1" applyAlignment="1">
      <alignment horizontal="center"/>
    </xf>
    <xf numFmtId="0" fontId="1" fillId="4" borderId="0" xfId="0" applyFont="1" applyFill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4" borderId="0" xfId="0" applyFont="1" applyFill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7" fillId="3" borderId="0" xfId="0" applyFont="1" applyFill="1" applyAlignment="1">
      <alignment horizontal="center"/>
    </xf>
    <xf numFmtId="14" fontId="2" fillId="0" borderId="0" xfId="0" applyNumberFormat="1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7" fillId="0" borderId="0" xfId="0" applyFont="1" applyBorder="1" applyAlignment="1">
      <alignment horizontal="left" vertical="center" wrapText="1"/>
    </xf>
    <xf numFmtId="0" fontId="2" fillId="0" borderId="0" xfId="0" applyFont="1" applyBorder="1"/>
    <xf numFmtId="49" fontId="13" fillId="2" borderId="0" xfId="0" applyNumberFormat="1" applyFont="1" applyFill="1" applyBorder="1" applyAlignment="1">
      <alignment horizontal="left" vertical="center"/>
    </xf>
    <xf numFmtId="0" fontId="7" fillId="0" borderId="0" xfId="0" applyFont="1" applyBorder="1" applyAlignment="1">
      <alignment vertical="center" wrapText="1"/>
    </xf>
    <xf numFmtId="0" fontId="7" fillId="0" borderId="1" xfId="0" applyFont="1" applyBorder="1" applyAlignment="1">
      <alignment vertical="center"/>
    </xf>
    <xf numFmtId="0" fontId="15" fillId="0" borderId="0" xfId="0" applyFont="1" applyBorder="1" applyAlignment="1">
      <alignment vertical="center" wrapText="1"/>
    </xf>
    <xf numFmtId="0" fontId="2" fillId="3" borderId="0" xfId="0" applyFont="1" applyFill="1" applyBorder="1"/>
    <xf numFmtId="0" fontId="7" fillId="0" borderId="0" xfId="0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 wrapText="1"/>
    </xf>
    <xf numFmtId="0" fontId="7" fillId="3" borderId="0" xfId="0" applyFont="1" applyFill="1" applyBorder="1" applyAlignment="1">
      <alignment horizontal="center" vertical="center"/>
    </xf>
    <xf numFmtId="0" fontId="7" fillId="0" borderId="1" xfId="0" applyFont="1" applyBorder="1"/>
    <xf numFmtId="0" fontId="11" fillId="0" borderId="0" xfId="0" applyFont="1" applyBorder="1" applyAlignment="1">
      <alignment horizontal="left"/>
    </xf>
    <xf numFmtId="0" fontId="3" fillId="0" borderId="1" xfId="1" applyBorder="1" applyAlignment="1" applyProtection="1">
      <alignment vertical="center" wrapText="1"/>
    </xf>
    <xf numFmtId="0" fontId="3" fillId="0" borderId="1" xfId="1" applyBorder="1" applyAlignment="1" applyProtection="1">
      <alignment vertical="center"/>
    </xf>
    <xf numFmtId="0" fontId="3" fillId="3" borderId="0" xfId="1" applyFill="1" applyBorder="1" applyAlignment="1" applyProtection="1">
      <alignment horizontal="left"/>
    </xf>
    <xf numFmtId="14" fontId="0" fillId="0" borderId="0" xfId="0" applyNumberFormat="1"/>
    <xf numFmtId="165" fontId="0" fillId="0" borderId="0" xfId="0" applyNumberFormat="1"/>
  </cellXfs>
  <cellStyles count="4">
    <cellStyle name="Excel Built-in Hyperlink" xfId="3" xr:uid="{5DBAAA68-2321-E94D-A363-84966020F1B2}"/>
    <cellStyle name="Excel Built-in Normal" xfId="2" xr:uid="{8C6C87E4-2831-A045-A833-B2EEC9CE7C95}"/>
    <cellStyle name="Hyperlink" xfId="1" builtinId="8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ster Walcott" refreshedDate="44642.624446527778" createdVersion="6" refreshedVersion="6" minRefreshableVersion="3" recordCount="95" xr:uid="{FCEB6140-F752-49F3-89CD-D45BF786E22F}">
  <cacheSource type="worksheet">
    <worksheetSource ref="A1:AE1048576" sheet="original"/>
  </cacheSource>
  <cacheFields count="31">
    <cacheField name="First Name" numFmtId="0">
      <sharedItems containsBlank="1"/>
    </cacheField>
    <cacheField name="Last Name" numFmtId="0">
      <sharedItems containsBlank="1"/>
    </cacheField>
    <cacheField name="Address" numFmtId="0">
      <sharedItems containsBlank="1"/>
    </cacheField>
    <cacheField name="City" numFmtId="0">
      <sharedItems containsBlank="1"/>
    </cacheField>
    <cacheField name="ST" numFmtId="0">
      <sharedItems containsBlank="1"/>
    </cacheField>
    <cacheField name="ZIP" numFmtId="0">
      <sharedItems containsString="0" containsBlank="1" containsNumber="1" containsInteger="1" minValue="89703" maxValue="96150"/>
    </cacheField>
    <cacheField name="Phone" numFmtId="0">
      <sharedItems containsBlank="1"/>
    </cacheField>
    <cacheField name="E-Mail" numFmtId="0">
      <sharedItems containsBlank="1" count="86">
        <s v="hut.coord@yahoo.com"/>
        <s v="charlie.hotz@gmail.com"/>
        <s v="elk1234567@yahoo.com"/>
        <s v="propwash876@gmail.com"/>
        <s v="hal_tompkins@yahoo.com"/>
        <s v="smattoon@gmail.com"/>
        <s v="ktmori@gmail.com"/>
        <s v="clewis8255@gmail.com"/>
        <m/>
        <s v="veronica.chouinard@gmail.com"/>
        <s v="noahbudnick@gmail.com"/>
        <s v="kamcrae@yahoo.com"/>
        <s v="janv1992@gmail.com"/>
        <s v="gprout009@gmail.com"/>
        <s v="ryanprouty@protonmail.com"/>
        <s v="lciemniecki@gmail.com"/>
        <s v="tahoemountaintapas@gmail.com"/>
        <s v="joshuafoster1@gmail.com"/>
        <s v="sam.hoffman99@gmail.com"/>
        <s v="bemcrae@yahoo.com"/>
        <s v="christie.a.ciarlo@gmail.com"/>
        <s v="rickards050@gmail.com"/>
        <s v="hoketc11@gmail.com"/>
        <s v="jondlittle@gmail.com"/>
        <s v="amychen2012@gmail.com"/>
        <s v="protourchef@hotmail.com"/>
        <s v="tk6174@gmail.com"/>
        <s v="nickhunnewell@gmail.com"/>
        <s v="aomalley17@gmail.com"/>
        <s v="leo.stanislas@gmail.com"/>
        <s v="craigmhaupt@gmail.com"/>
        <s v="matthewwalexander@gmail.com"/>
        <s v="ajcrutch@gmail.com"/>
        <s v="sjmac650@gmail.com"/>
        <s v="bjraudabaugh@gmail.com"/>
        <s v="hill_hiker@hotmail.com"/>
        <s v="martin.p.carnogursky@gmail.com"/>
        <s v="erincalfee@gmail.com"/>
        <s v="d1passmore@yahoo.com"/>
        <s v="bryn.miller117@gmail.com"/>
        <s v="danielnelli05@gmail.com"/>
        <s v="roryoneill6@gmail.com"/>
        <s v="tyler11alves@gmail.com"/>
        <s v="luke.w.bonham@gmail.com"/>
        <s v="terri.michel@gmail.com"/>
        <s v="notactuallymichelle@gmail.com"/>
        <s v="jenny.m.rempel@gmail.com"/>
        <s v="shuojingwang@gmail.com"/>
        <s v="chan.sarahmarie@gmail.com"/>
        <s v="tracyballinger@gmail.com"/>
        <s v="nikkival17@gmail.com"/>
        <s v="scottwkidd@gmail.com"/>
        <s v="jdeck8@gmail.com"/>
        <s v="lexiarlen@gmail.com"/>
        <s v="iamscears199@aol.com"/>
        <s v="st1993@gmail.com"/>
        <s v="Ajorgensen4897@gmail.com"/>
        <s v="Jasonmarteldye@gmail.com"/>
        <s v="Alexwnewcomb@gmail.com"/>
        <s v="ben.spielman1223@gmail.com"/>
        <s v="jakeisthesnake@gmail.com"/>
        <s v="kapofahl@gmail.com"/>
        <s v="dyoungsmith@gmail.com"/>
        <s v="mtnmck@gmail.com"/>
        <s v="keith.lemay@gmail.com"/>
        <s v="rlensch@yahoo.com"/>
        <s v="karadu422@gmail.com"/>
        <s v="louisschueller@gmail.com"/>
        <s v="will94574@comcast.net"/>
        <s v="djmrtoad@hotmail.com"/>
        <s v="tanner.neville@gmail.com"/>
        <s v="stevenpong@gmail.com"/>
        <s v="alexgovaerts@hotmail.com"/>
        <s v="wister@gmail.com"/>
        <s v="chrishansenmd@comcast.net"/>
        <s v="lainahall606@gmail.com"/>
        <s v="tracy@compnetworks.com"/>
        <s v="daneemk@gmail.com"/>
        <s v="dwolfowitz@gmail.com"/>
        <s v="holly.ratcliff@gmail.com"/>
        <s v="jguild10@gmail.com"/>
        <s v="mitchell.hannah@gmail.com"/>
        <s v="amyburdick20@gmail.com"/>
        <s v="jasnault@chicouta.org"/>
        <s v="lauren.tackbary@sierraclub.org"/>
        <s v="liranzimand@gmail.com"/>
      </sharedItems>
    </cacheField>
    <cacheField name="Hut" numFmtId="0">
      <sharedItems containsBlank="1"/>
    </cacheField>
    <cacheField name="Start" numFmtId="49">
      <sharedItems containsBlank="1"/>
    </cacheField>
    <cacheField name="Days" numFmtId="0">
      <sharedItems containsString="0" containsBlank="1" containsNumber="1" containsInteger="1" minValue="1" maxValue="13"/>
    </cacheField>
    <cacheField name="#People" numFmtId="0">
      <sharedItems containsString="0" containsBlank="1" containsNumber="1" containsInteger="1" minValue="1" maxValue="1"/>
    </cacheField>
    <cacheField name="P-Days" numFmtId="0">
      <sharedItems containsString="0" containsBlank="1" containsNumber="1" containsInteger="1" minValue="1" maxValue="14"/>
    </cacheField>
    <cacheField name="Notes" numFmtId="0">
      <sharedItems containsBlank="1"/>
    </cacheField>
    <cacheField name="Ldr" numFmtId="0">
      <sharedItems containsBlank="1"/>
    </cacheField>
    <cacheField name="Special" numFmtId="0">
      <sharedItems containsBlank="1"/>
    </cacheField>
    <cacheField name="Received" numFmtId="0">
      <sharedItems containsBlank="1"/>
    </cacheField>
    <cacheField name="Pref" numFmtId="0">
      <sharedItems containsBlank="1" containsMixedTypes="1" containsNumber="1" containsInteger="1" minValue="1" maxValue="9"/>
    </cacheField>
    <cacheField name="Hut2" numFmtId="0">
      <sharedItems containsBlank="1"/>
    </cacheField>
    <cacheField name="YYi" numFmtId="0">
      <sharedItems containsString="0" containsBlank="1" containsNumber="1" containsInteger="1" minValue="25" maxValue="26"/>
    </cacheField>
    <cacheField name="MMi" numFmtId="0">
      <sharedItems containsString="0" containsBlank="1" containsNumber="1" containsInteger="1" minValue="1" maxValue="12"/>
    </cacheField>
    <cacheField name="DDi" numFmtId="0">
      <sharedItems containsString="0" containsBlank="1" containsNumber="1" containsInteger="1" minValue="1" maxValue="30"/>
    </cacheField>
    <cacheField name="YYo" numFmtId="0">
      <sharedItems containsString="0" containsBlank="1" containsNumber="1" containsInteger="1" minValue="25" maxValue="26"/>
    </cacheField>
    <cacheField name="MMo" numFmtId="0">
      <sharedItems containsString="0" containsBlank="1" containsNumber="1" containsInteger="1" minValue="1" maxValue="12"/>
    </cacheField>
    <cacheField name="DDo" numFmtId="0">
      <sharedItems containsString="0" containsBlank="1" containsNumber="1" containsInteger="1" minValue="1" maxValue="30"/>
    </cacheField>
    <cacheField name="Nights" numFmtId="0">
      <sharedItems containsString="0" containsBlank="1" containsNumber="1" containsInteger="1" minValue="1" maxValue="4"/>
    </cacheField>
    <cacheField name="Spaces" numFmtId="0">
      <sharedItems containsString="0" containsBlank="1" containsNumber="1" containsInteger="1" minValue="2" maxValue="15"/>
    </cacheField>
    <cacheField name="Flex?" numFmtId="0">
      <sharedItems containsBlank="1"/>
    </cacheField>
    <cacheField name="Alloc?" numFmtId="0">
      <sharedItems containsBlank="1"/>
    </cacheField>
    <cacheField name="Round2" numFmtId="0">
      <sharedItems containsBlank="1"/>
    </cacheField>
    <cacheField name="Requestor_ID" numFmtId="0">
      <sharedItems containsBlank="1" containsMixedTypes="1" containsNumber="1" containsInteger="1" minValue="1962792" maxValue="40395911" count="85">
        <n v="2009181"/>
        <n v="36702536"/>
        <n v="3486858"/>
        <n v="35768949"/>
        <n v="27044381"/>
        <n v="37726952"/>
        <n v="35244304"/>
        <n v="39288456"/>
        <e v="#VALUE!"/>
        <n v="35275115"/>
        <n v="31583107"/>
        <n v="29098784"/>
        <n v="38833183"/>
        <n v="35275980"/>
        <n v="34655911"/>
        <n v="30097345"/>
        <n v="35210793"/>
        <n v="31698303"/>
        <n v="1962792"/>
        <n v="29099095"/>
        <n v="32203336"/>
        <n v="33131431"/>
        <n v="30111101"/>
        <n v="29618303"/>
        <n v="29176534"/>
        <n v="37816949"/>
        <n v="3147593"/>
        <n v="33131427"/>
        <n v="28075894"/>
        <n v="1975905"/>
        <n v="32095336"/>
        <n v="37847586"/>
        <n v="36715494"/>
        <n v="28075512"/>
        <n v="28107495"/>
        <n v="33701021"/>
        <n v="37834786"/>
        <n v="34706538"/>
        <n v="28090137"/>
        <n v="34808935"/>
        <n v="32177177"/>
        <n v="40395911"/>
        <n v="30118313"/>
        <n v="30111585"/>
        <n v="36811113"/>
        <n v="28120707"/>
        <n v="34737503"/>
        <n v="35294552"/>
        <n v="34654536"/>
        <n v="29023353"/>
        <n v="33182627"/>
        <n v="37815752"/>
        <n v="29047823"/>
        <n v="32241505"/>
        <n v="37290782"/>
        <n v="7212312"/>
        <n v="36792262"/>
        <n v="35281151"/>
        <n v="39800422"/>
        <n v="1969495"/>
        <n v="30109983"/>
        <n v="35261984"/>
        <n v="38329497"/>
        <n v="34226706"/>
        <n v="37777504"/>
        <n v="34680471"/>
        <n v="28106784"/>
        <n v="32223105"/>
        <n v="33701036"/>
        <n v="36779497"/>
        <n v="34737193"/>
        <n v="38777112"/>
        <n v="39800454"/>
        <n v="37841836"/>
        <n v="34705185"/>
        <n v="30129177"/>
        <n v="33721337"/>
        <n v="33701501"/>
        <n v="32222463"/>
        <n v="29144226"/>
        <n v="28664534"/>
        <n v="34769183"/>
        <n v="36829985"/>
        <n v="28107425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">
  <r>
    <s v="Dick"/>
    <s v="Simpson"/>
    <s v="3326 Kipling St."/>
    <s v="Palo Alto"/>
    <s v="CA"/>
    <n v="94306"/>
    <s v="650-494-9272"/>
    <x v="0"/>
    <s v="PGH"/>
    <s v="2025/07/19"/>
    <n v="13"/>
    <n v="1"/>
    <n v="14"/>
    <s v="Leader"/>
    <s v="L"/>
    <s v="LPC STS"/>
    <s v="251022t085900"/>
    <n v="1"/>
    <s v="PGH"/>
    <n v="26"/>
    <n v="1"/>
    <n v="30"/>
    <n v="26"/>
    <n v="2"/>
    <n v="1"/>
    <n v="2"/>
    <n v="15"/>
    <m/>
    <s v="Y"/>
    <m/>
    <x v="0"/>
  </r>
  <r>
    <s v="Charlie"/>
    <s v="Hotz"/>
    <s v="205 Irwin"/>
    <s v="San Rafael"/>
    <s v="CA"/>
    <m/>
    <s v="650-450-2538"/>
    <x v="1"/>
    <s v="BEN"/>
    <s v="2025/07/12"/>
    <n v="5"/>
    <n v="1"/>
    <n v="5"/>
    <s v="Leader"/>
    <s v="L"/>
    <m/>
    <s v="251028t132400"/>
    <n v="1"/>
    <s v="BEN"/>
    <n v="26"/>
    <n v="2"/>
    <n v="22"/>
    <n v="26"/>
    <n v="2"/>
    <n v="24"/>
    <n v="2"/>
    <n v="4"/>
    <m/>
    <s v="Y"/>
    <m/>
    <x v="1"/>
  </r>
  <r>
    <s v="Ethan"/>
    <s v="Kennon"/>
    <s v="1270 Storey Ave D"/>
    <s v="San Francisco"/>
    <s v="CA"/>
    <n v="94129"/>
    <s v="707-315-9872"/>
    <x v="2"/>
    <s v="PGH"/>
    <s v="2025/08/16"/>
    <n v="4"/>
    <n v="1"/>
    <n v="4"/>
    <s v="Leader"/>
    <s v="L"/>
    <m/>
    <s v="251028t110400"/>
    <n v="1"/>
    <s v="BEN"/>
    <n v="26"/>
    <n v="1"/>
    <n v="16"/>
    <n v="26"/>
    <n v="1"/>
    <n v="19"/>
    <n v="3"/>
    <n v="12"/>
    <s v="N"/>
    <s v="Y"/>
    <m/>
    <x v="2"/>
  </r>
  <r>
    <s v="Jason"/>
    <s v="McLachlan"/>
    <m/>
    <m/>
    <m/>
    <m/>
    <s v="530-913-8619"/>
    <x v="3"/>
    <s v="LUD"/>
    <s v="2025/10/04"/>
    <n v="2"/>
    <n v="1"/>
    <n v="3"/>
    <s v="Leader"/>
    <s v="L"/>
    <m/>
    <s v="251101t084800"/>
    <n v="1"/>
    <s v="BRA"/>
    <n v="26"/>
    <n v="3"/>
    <n v="6"/>
    <n v="26"/>
    <n v="3"/>
    <n v="8"/>
    <n v="2"/>
    <n v="8"/>
    <m/>
    <s v="Y"/>
    <m/>
    <x v="3"/>
  </r>
  <r>
    <s v="Hal"/>
    <s v="Tompkins"/>
    <s v="3134 Oak Knoll Drive"/>
    <s v="Redwood City"/>
    <s v="CA"/>
    <n v="94062"/>
    <s v="650-400-8351"/>
    <x v="4"/>
    <s v="BRA"/>
    <s v="2025/09/20"/>
    <n v="2"/>
    <n v="1"/>
    <n v="2"/>
    <s v="Leader"/>
    <s v="L"/>
    <s v="LPC STS"/>
    <s v="251025t073200"/>
    <n v="1"/>
    <s v="BRA"/>
    <n v="26"/>
    <n v="1"/>
    <n v="24"/>
    <n v="26"/>
    <n v="1"/>
    <n v="26"/>
    <n v="2"/>
    <n v="15"/>
    <m/>
    <s v="Y"/>
    <m/>
    <x v="4"/>
  </r>
  <r>
    <s v="Scott"/>
    <s v="Mattoon"/>
    <m/>
    <m/>
    <m/>
    <m/>
    <s v="415-601-7101"/>
    <x v="5"/>
    <s v="CON"/>
    <s v="2025/10/18"/>
    <n v="2"/>
    <n v="1"/>
    <n v="2"/>
    <s v="Leader"/>
    <s v="L"/>
    <m/>
    <s v="251031t210700"/>
    <n v="1"/>
    <s v="BRA"/>
    <n v="26"/>
    <n v="3"/>
    <n v="15"/>
    <n v="26"/>
    <n v="3"/>
    <n v="17"/>
    <n v="2"/>
    <n v="3"/>
    <m/>
    <s v="Y"/>
    <m/>
    <x v="5"/>
  </r>
  <r>
    <s v="Kevin"/>
    <s v="Mori"/>
    <s v="1545 Dwight"/>
    <s v="Berkeley"/>
    <s v="CA"/>
    <n v="94702"/>
    <s v="630-310-9004"/>
    <x v="6"/>
    <s v="PGH"/>
    <s v="2025/10/04"/>
    <n v="2"/>
    <n v="1"/>
    <n v="2"/>
    <s v="Leader"/>
    <s v="L"/>
    <m/>
    <s v="251030t213200"/>
    <n v="1"/>
    <s v="PGH"/>
    <n v="26"/>
    <n v="4"/>
    <n v="10"/>
    <n v="26"/>
    <n v="4"/>
    <n v="12"/>
    <n v="2"/>
    <n v="15"/>
    <s v="D"/>
    <s v="Y"/>
    <m/>
    <x v="6"/>
  </r>
  <r>
    <s v="Chris"/>
    <s v="Lewis"/>
    <m/>
    <s v="Chico"/>
    <s v="CA"/>
    <m/>
    <s v="530-370-6424"/>
    <x v="7"/>
    <s v="BRA"/>
    <s v="2025/08/20"/>
    <n v="1"/>
    <n v="1"/>
    <n v="1"/>
    <s v="Leader"/>
    <s v="L"/>
    <m/>
    <s v="251022t104300"/>
    <n v="1"/>
    <s v="BRA"/>
    <n v="26"/>
    <n v="2"/>
    <n v="20"/>
    <n v="26"/>
    <n v="2"/>
    <n v="23"/>
    <n v="3"/>
    <n v="15"/>
    <m/>
    <s v="Y"/>
    <m/>
    <x v="7"/>
  </r>
  <r>
    <m/>
    <m/>
    <m/>
    <m/>
    <m/>
    <m/>
    <m/>
    <x v="8"/>
    <m/>
    <m/>
    <m/>
    <m/>
    <m/>
    <m/>
    <m/>
    <m/>
    <m/>
    <m/>
    <m/>
    <m/>
    <m/>
    <m/>
    <m/>
    <m/>
    <m/>
    <m/>
    <m/>
    <m/>
    <m/>
    <m/>
    <x v="8"/>
  </r>
  <r>
    <s v="Veronica"/>
    <s v="Chouinard"/>
    <s v="3326 Kipling St."/>
    <s v="Palo Alto"/>
    <s v="CA"/>
    <n v="94306"/>
    <s v="617-710-7761"/>
    <x v="9"/>
    <s v="MUL"/>
    <s v="2025/08/16"/>
    <n v="9"/>
    <n v="1"/>
    <n v="9"/>
    <m/>
    <m/>
    <m/>
    <s v="251028t060000"/>
    <n v="1"/>
    <s v="BRA"/>
    <n v="26"/>
    <n v="2"/>
    <n v="14"/>
    <n v="26"/>
    <n v="2"/>
    <n v="16"/>
    <n v="2"/>
    <n v="15"/>
    <m/>
    <s v="Y"/>
    <m/>
    <x v="9"/>
  </r>
  <r>
    <s v="Noah"/>
    <s v="Budnick"/>
    <s v="2720 Curtis St."/>
    <s v="Berkeley"/>
    <s v="CA"/>
    <m/>
    <s v="917-684-7912"/>
    <x v="10"/>
    <s v="MUL"/>
    <s v="2025/08/23"/>
    <n v="4"/>
    <n v="1"/>
    <n v="4"/>
    <m/>
    <m/>
    <m/>
    <s v="251029t174600"/>
    <n v="1"/>
    <s v="BRA"/>
    <n v="26"/>
    <n v="3"/>
    <n v="8"/>
    <n v="26"/>
    <n v="3"/>
    <n v="10"/>
    <n v="2"/>
    <n v="5"/>
    <m/>
    <s v="Y"/>
    <m/>
    <x v="10"/>
  </r>
  <r>
    <s v="Katie"/>
    <s v="McRae"/>
    <s v="1200 Cabrolet Drive"/>
    <s v="Carson City"/>
    <s v="NV"/>
    <n v="89703"/>
    <s v="775-220-9792"/>
    <x v="11"/>
    <s v="MUL"/>
    <s v="2025/08/20"/>
    <n v="3"/>
    <n v="1"/>
    <n v="3"/>
    <m/>
    <m/>
    <m/>
    <s v="251029t123100"/>
    <n v="2"/>
    <s v="BRA"/>
    <n v="26"/>
    <n v="1"/>
    <n v="18"/>
    <n v="26"/>
    <n v="1"/>
    <n v="20"/>
    <n v="2"/>
    <n v="4"/>
    <m/>
    <s v="Y"/>
    <m/>
    <x v="11"/>
  </r>
  <r>
    <s v="Jan"/>
    <s v="Vanous"/>
    <s v="170 Jersey St."/>
    <s v="San Francisco"/>
    <s v="CA"/>
    <n v="94114"/>
    <s v="301-801-6748"/>
    <x v="12"/>
    <s v="PGH"/>
    <s v="2025/07/19"/>
    <n v="3"/>
    <n v="1"/>
    <n v="3"/>
    <m/>
    <m/>
    <m/>
    <s v="251027t223300"/>
    <n v="1"/>
    <s v="BRA"/>
    <n v="26"/>
    <n v="2"/>
    <n v="27"/>
    <n v="26"/>
    <n v="3"/>
    <n v="1"/>
    <n v="2"/>
    <n v="15"/>
    <m/>
    <s v="Y"/>
    <m/>
    <x v="12"/>
  </r>
  <r>
    <m/>
    <m/>
    <m/>
    <m/>
    <m/>
    <m/>
    <m/>
    <x v="8"/>
    <m/>
    <m/>
    <m/>
    <m/>
    <m/>
    <m/>
    <m/>
    <m/>
    <m/>
    <m/>
    <m/>
    <m/>
    <m/>
    <m/>
    <m/>
    <m/>
    <m/>
    <m/>
    <m/>
    <m/>
    <m/>
    <m/>
    <x v="8"/>
  </r>
  <r>
    <s v="Greg"/>
    <s v="Prouty"/>
    <m/>
    <m/>
    <m/>
    <m/>
    <s v="916-606-9046"/>
    <x v="13"/>
    <s v="PGH"/>
    <s v="2025/07/19"/>
    <n v="2"/>
    <n v="1"/>
    <n v="2"/>
    <m/>
    <m/>
    <m/>
    <s v="251029t144100"/>
    <n v="1"/>
    <s v="BEN"/>
    <n v="26"/>
    <n v="1"/>
    <n v="2"/>
    <n v="26"/>
    <n v="1"/>
    <n v="4"/>
    <n v="2"/>
    <n v="4"/>
    <m/>
    <s v="Y"/>
    <m/>
    <x v="13"/>
  </r>
  <r>
    <s v="Ryan"/>
    <s v="Prouty"/>
    <m/>
    <m/>
    <m/>
    <m/>
    <s v="916-221-8055"/>
    <x v="14"/>
    <s v="PGH"/>
    <s v="2025/07/19"/>
    <n v="2"/>
    <n v="1"/>
    <n v="2"/>
    <m/>
    <m/>
    <m/>
    <s v="251022t153800"/>
    <n v="1"/>
    <s v="BEN"/>
    <n v="26"/>
    <n v="1"/>
    <n v="21"/>
    <n v="26"/>
    <n v="1"/>
    <n v="25"/>
    <n v="4"/>
    <n v="4"/>
    <s v="HDN"/>
    <s v="YF"/>
    <m/>
    <x v="14"/>
  </r>
  <r>
    <s v="Leonard"/>
    <s v="Ciemniecki"/>
    <s v="1690 Bay St - Apt 305"/>
    <s v="San Francisco"/>
    <s v="CA"/>
    <n v="94123"/>
    <s v="248-925-9102"/>
    <x v="15"/>
    <s v="CON"/>
    <s v="2025/10/18"/>
    <n v="2"/>
    <n v="1"/>
    <n v="2"/>
    <m/>
    <m/>
    <m/>
    <s v="251031t163200"/>
    <n v="3"/>
    <s v="PGH"/>
    <n v="26"/>
    <n v="1"/>
    <n v="23"/>
    <n v="26"/>
    <n v="1"/>
    <n v="25"/>
    <n v="2"/>
    <n v="15"/>
    <m/>
    <s v="Y"/>
    <m/>
    <x v="15"/>
  </r>
  <r>
    <s v="Miranda"/>
    <s v="Worrell"/>
    <m/>
    <m/>
    <m/>
    <m/>
    <s v="530-448-0637"/>
    <x v="16"/>
    <s v="BEN"/>
    <s v="2025/09/19"/>
    <n v="2"/>
    <n v="1"/>
    <n v="2"/>
    <m/>
    <m/>
    <m/>
    <s v="251021t130500"/>
    <n v="1"/>
    <s v="BEN"/>
    <n v="26"/>
    <n v="1"/>
    <n v="30"/>
    <n v="26"/>
    <n v="2"/>
    <n v="1"/>
    <n v="2"/>
    <n v="6"/>
    <m/>
    <s v="Y"/>
    <m/>
    <x v="16"/>
  </r>
  <r>
    <s v="Joshua"/>
    <s v="Foster"/>
    <s v="1919 High Meadow Trail"/>
    <m/>
    <m/>
    <m/>
    <s v="530-848-8071"/>
    <x v="17"/>
    <s v="LUD"/>
    <s v="2025/10/04"/>
    <n v="2"/>
    <n v="1"/>
    <n v="2"/>
    <m/>
    <m/>
    <m/>
    <s v="251029t215600"/>
    <n v="1"/>
    <s v="BEN"/>
    <n v="26"/>
    <n v="2"/>
    <n v="5"/>
    <n v="26"/>
    <n v="2"/>
    <n v="7"/>
    <n v="2"/>
    <n v="12"/>
    <m/>
    <s v="Y"/>
    <m/>
    <x v="17"/>
  </r>
  <r>
    <s v="Sam"/>
    <s v="Hoffman"/>
    <m/>
    <s v="Oakland"/>
    <s v="CA"/>
    <m/>
    <s v="720-810-5776"/>
    <x v="18"/>
    <s v="PGH"/>
    <s v="2025/07/19"/>
    <n v="2"/>
    <n v="1"/>
    <n v="2"/>
    <m/>
    <m/>
    <m/>
    <s v="251030t215200"/>
    <n v="1"/>
    <s v="BEN"/>
    <n v="26"/>
    <n v="2"/>
    <n v="7"/>
    <n v="26"/>
    <n v="2"/>
    <n v="8"/>
    <n v="1"/>
    <n v="9"/>
    <s v="HD"/>
    <s v="Y"/>
    <m/>
    <x v="18"/>
  </r>
  <r>
    <s v="Brian"/>
    <s v="McRae"/>
    <m/>
    <m/>
    <m/>
    <m/>
    <s v="775-230-4338"/>
    <x v="19"/>
    <s v="BEN"/>
    <s v="2025/09/19"/>
    <n v="2"/>
    <n v="1"/>
    <n v="2"/>
    <m/>
    <m/>
    <m/>
    <s v="251030t145900"/>
    <n v="1"/>
    <s v="BEN"/>
    <n v="26"/>
    <n v="2"/>
    <n v="8"/>
    <n v="26"/>
    <n v="2"/>
    <n v="10"/>
    <n v="2"/>
    <n v="4"/>
    <m/>
    <s v="Y"/>
    <m/>
    <x v="19"/>
  </r>
  <r>
    <s v="Christie"/>
    <s v="Ciarlo"/>
    <s v="404 Cavar St."/>
    <s v="Oakland"/>
    <s v="CA"/>
    <n v="94618"/>
    <s v="407-538-2606"/>
    <x v="20"/>
    <s v="PGH"/>
    <s v="2025/10/04"/>
    <n v="2"/>
    <n v="1"/>
    <n v="2"/>
    <m/>
    <m/>
    <m/>
    <s v="251029t193500"/>
    <n v="1"/>
    <s v="BEN"/>
    <n v="26"/>
    <n v="2"/>
    <n v="20"/>
    <n v="26"/>
    <n v="2"/>
    <n v="22"/>
    <n v="2"/>
    <n v="7"/>
    <s v="D"/>
    <s v="Y"/>
    <m/>
    <x v="20"/>
  </r>
  <r>
    <s v="Matt"/>
    <s v="Rickards"/>
    <s v="123 Girard Ave"/>
    <s v="Sausalito"/>
    <s v="CA"/>
    <n v="94965"/>
    <s v="781-910-3917"/>
    <x v="21"/>
    <s v="LUD"/>
    <s v="2025/10/04"/>
    <n v="2"/>
    <n v="1"/>
    <n v="2"/>
    <m/>
    <m/>
    <m/>
    <s v="251031t140700"/>
    <n v="1"/>
    <s v="BEN"/>
    <n v="26"/>
    <n v="2"/>
    <n v="21"/>
    <n v="26"/>
    <n v="2"/>
    <n v="23"/>
    <n v="2"/>
    <n v="10"/>
    <m/>
    <m/>
    <s v="declined"/>
    <x v="21"/>
  </r>
  <r>
    <s v="Tom"/>
    <s v="Hoke"/>
    <m/>
    <m/>
    <m/>
    <m/>
    <s v="804-441-5844"/>
    <x v="22"/>
    <s v="BEN"/>
    <s v="2025/09/19"/>
    <n v="2"/>
    <n v="1"/>
    <n v="2"/>
    <m/>
    <m/>
    <m/>
    <s v="251029t135900"/>
    <n v="1"/>
    <s v="BEN"/>
    <n v="26"/>
    <n v="2"/>
    <n v="27"/>
    <n v="26"/>
    <n v="3"/>
    <n v="1"/>
    <n v="2"/>
    <n v="5"/>
    <m/>
    <s v="Y"/>
    <m/>
    <x v="22"/>
  </r>
  <r>
    <s v="Jon"/>
    <s v="Little"/>
    <s v="4057a 24th St"/>
    <s v="San Francisco"/>
    <s v="CA"/>
    <n v="94117"/>
    <s v="802-318-8831"/>
    <x v="23"/>
    <s v="PGH"/>
    <s v="2025/10/04"/>
    <n v="2"/>
    <n v="1"/>
    <n v="2"/>
    <m/>
    <m/>
    <m/>
    <s v="251030t193600"/>
    <n v="2"/>
    <s v="BEN"/>
    <n v="26"/>
    <n v="1"/>
    <n v="23"/>
    <n v="26"/>
    <n v="1"/>
    <n v="25"/>
    <n v="2"/>
    <n v="8"/>
    <m/>
    <s v="Y"/>
    <m/>
    <x v="23"/>
  </r>
  <r>
    <s v="Amy"/>
    <s v="Chen"/>
    <s v="175 Bluxome #223"/>
    <s v="San Francisco"/>
    <s v="CA"/>
    <n v="94107"/>
    <s v="248-321-0848"/>
    <x v="24"/>
    <s v="PGH"/>
    <s v="2025/10/04"/>
    <n v="2"/>
    <n v="1"/>
    <n v="2"/>
    <m/>
    <m/>
    <m/>
    <s v="251030t202000"/>
    <n v="4"/>
    <s v="BEN"/>
    <n v="26"/>
    <n v="3"/>
    <n v="21"/>
    <n v="26"/>
    <n v="3"/>
    <n v="22"/>
    <n v="1"/>
    <n v="7"/>
    <s v="N"/>
    <s v="YF"/>
    <m/>
    <x v="24"/>
  </r>
  <r>
    <s v="Eric"/>
    <s v="Liebendorfer"/>
    <m/>
    <m/>
    <m/>
    <m/>
    <s v="775-315-5360"/>
    <x v="25"/>
    <s v="BEN"/>
    <s v="2025/09/19"/>
    <n v="2"/>
    <n v="1"/>
    <n v="2"/>
    <m/>
    <m/>
    <m/>
    <s v="251023t112400"/>
    <n v="1"/>
    <s v="BEN"/>
    <n v="26"/>
    <n v="3"/>
    <n v="3"/>
    <n v="26"/>
    <n v="3"/>
    <n v="5"/>
    <n v="2"/>
    <n v="6"/>
    <s v="D"/>
    <s v="Y"/>
    <m/>
    <x v="25"/>
  </r>
  <r>
    <s v="Teddy"/>
    <s v="Koerner"/>
    <s v="1275 McAllister"/>
    <s v="San Francisco"/>
    <s v="CA"/>
    <m/>
    <s v="303-956-0501"/>
    <x v="26"/>
    <s v="LUD"/>
    <s v="2025/10/04"/>
    <n v="2"/>
    <n v="1"/>
    <n v="2"/>
    <m/>
    <m/>
    <m/>
    <s v="251029t151000"/>
    <n v="4"/>
    <s v="LUD"/>
    <n v="26"/>
    <n v="3"/>
    <n v="6"/>
    <n v="26"/>
    <n v="3"/>
    <n v="8"/>
    <n v="2"/>
    <n v="15"/>
    <m/>
    <s v="Y"/>
    <m/>
    <x v="26"/>
  </r>
  <r>
    <s v="Nick"/>
    <s v="Hunnewell"/>
    <s v="3616 18th St - Unit 3"/>
    <s v="San Francisco"/>
    <s v="CA"/>
    <n v="94110"/>
    <s v="508-314-8721"/>
    <x v="27"/>
    <s v="PGH"/>
    <s v="2025/08/23"/>
    <n v="2"/>
    <n v="1"/>
    <n v="2"/>
    <m/>
    <m/>
    <m/>
    <s v="251031t094900"/>
    <n v="1"/>
    <s v="BEN"/>
    <n v="26"/>
    <n v="3"/>
    <n v="7"/>
    <n v="26"/>
    <n v="3"/>
    <n v="8"/>
    <n v="1"/>
    <n v="12"/>
    <s v="HD"/>
    <s v="Y"/>
    <m/>
    <x v="27"/>
  </r>
  <r>
    <s v="Anna"/>
    <s v="O'Malley"/>
    <m/>
    <s v="San Francisco"/>
    <s v="CA"/>
    <m/>
    <s v="802-540-5101"/>
    <x v="28"/>
    <s v="PGH"/>
    <s v="2025/07/19"/>
    <n v="2"/>
    <n v="1"/>
    <n v="2"/>
    <m/>
    <m/>
    <m/>
    <s v="251029t154700"/>
    <n v="2"/>
    <s v="BEN"/>
    <n v="26"/>
    <n v="3"/>
    <n v="14"/>
    <n v="26"/>
    <n v="3"/>
    <n v="15"/>
    <n v="1"/>
    <n v="7"/>
    <s v="N"/>
    <s v="Y"/>
    <m/>
    <x v="28"/>
  </r>
  <r>
    <s v="Leo"/>
    <s v="Stanislaus"/>
    <s v="1874 Mohican Dr."/>
    <s v="South Lake Tahoe"/>
    <s v="CA"/>
    <m/>
    <s v="818-930-2028"/>
    <x v="29"/>
    <s v="BEN"/>
    <s v="2025/07/12"/>
    <n v="2"/>
    <n v="1"/>
    <n v="2"/>
    <m/>
    <m/>
    <m/>
    <s v="251031t110700"/>
    <n v="1"/>
    <s v="BEN"/>
    <n v="26"/>
    <n v="3"/>
    <n v="13"/>
    <n v="26"/>
    <n v="3"/>
    <n v="14"/>
    <n v="1"/>
    <n v="12"/>
    <m/>
    <s v="Y"/>
    <m/>
    <x v="29"/>
  </r>
  <r>
    <s v="Craig"/>
    <s v="Haupt"/>
    <s v="1141 Vasquez Ave"/>
    <s v="Sunnyvale"/>
    <s v="CA"/>
    <n v="94086"/>
    <s v="408-329-3081"/>
    <x v="30"/>
    <s v="PGH"/>
    <s v="2025/08/23"/>
    <n v="2"/>
    <n v="1"/>
    <n v="2"/>
    <m/>
    <m/>
    <s v="LPC STS"/>
    <s v="251024t022200"/>
    <n v="1"/>
    <s v="BEN"/>
    <n v="26"/>
    <n v="3"/>
    <n v="14"/>
    <n v="26"/>
    <n v="3"/>
    <n v="15"/>
    <m/>
    <n v="4"/>
    <m/>
    <s v="Y"/>
    <m/>
    <x v="30"/>
  </r>
  <r>
    <s v="Matt"/>
    <s v="Alexander"/>
    <m/>
    <s v="Truckee"/>
    <s v="CA"/>
    <m/>
    <s v="650-223-5995"/>
    <x v="31"/>
    <s v="PGH"/>
    <s v="2025/07/19"/>
    <n v="2"/>
    <n v="1"/>
    <n v="2"/>
    <m/>
    <m/>
    <m/>
    <s v="251031t200600"/>
    <n v="1"/>
    <s v="BEN"/>
    <n v="26"/>
    <n v="3"/>
    <n v="20"/>
    <n v="26"/>
    <n v="3"/>
    <n v="22"/>
    <n v="2"/>
    <n v="5"/>
    <s v="N"/>
    <s v="Y"/>
    <m/>
    <x v="31"/>
  </r>
  <r>
    <s v="Andy"/>
    <s v="Crutchfield"/>
    <s v="687 Sand Harbor Rd"/>
    <s v="South Lake Tahoe"/>
    <s v="CA"/>
    <n v="96150"/>
    <s v="913-481-1918"/>
    <x v="32"/>
    <s v="BRA"/>
    <s v="2025/09/20"/>
    <n v="2"/>
    <n v="1"/>
    <n v="2"/>
    <m/>
    <m/>
    <m/>
    <s v="251031t003100"/>
    <n v="1"/>
    <s v="BEN"/>
    <n v="26"/>
    <n v="4"/>
    <n v="17"/>
    <n v="26"/>
    <n v="4"/>
    <n v="18"/>
    <n v="1"/>
    <n v="6"/>
    <m/>
    <s v="Y"/>
    <m/>
    <x v="32"/>
  </r>
  <r>
    <s v="Sarah"/>
    <s v="MacPherson"/>
    <s v="1350 Pine St."/>
    <s v="San Francisco"/>
    <s v="CA"/>
    <n v="94109"/>
    <s v="650-334-1015"/>
    <x v="33"/>
    <s v="BRA"/>
    <s v="2025/09/20"/>
    <n v="2"/>
    <n v="1"/>
    <n v="2"/>
    <m/>
    <m/>
    <m/>
    <s v="251031t124000"/>
    <n v="1"/>
    <s v="BRA"/>
    <n v="26"/>
    <n v="1"/>
    <n v="15"/>
    <n v="26"/>
    <n v="1"/>
    <n v="18"/>
    <n v="3"/>
    <n v="6"/>
    <s v="DN"/>
    <s v="Y"/>
    <m/>
    <x v="33"/>
  </r>
  <r>
    <s v="Benjamin"/>
    <s v="Raudabaugh"/>
    <s v="15 Stoneman St."/>
    <s v="San Francisco"/>
    <s v="CA"/>
    <n v="94110"/>
    <s v="415-713-1422"/>
    <x v="34"/>
    <s v="LUD"/>
    <s v="2025/10/04"/>
    <n v="2"/>
    <n v="1"/>
    <n v="2"/>
    <m/>
    <m/>
    <m/>
    <s v="251101t094545"/>
    <n v="9"/>
    <s v="PGH"/>
    <n v="26"/>
    <n v="4"/>
    <n v="25"/>
    <n v="26"/>
    <n v="4"/>
    <n v="27"/>
    <n v="2"/>
    <n v="15"/>
    <m/>
    <s v="Y"/>
    <m/>
    <x v="34"/>
  </r>
  <r>
    <s v="Chris"/>
    <s v="Oakes"/>
    <s v="1614 Francisco"/>
    <s v="Berkeley"/>
    <s v="CA"/>
    <m/>
    <s v="510-331-6654"/>
    <x v="35"/>
    <s v="MUL"/>
    <s v="2025/08/20"/>
    <n v="2"/>
    <n v="1"/>
    <n v="2"/>
    <m/>
    <m/>
    <m/>
    <s v="251029t042900"/>
    <n v="1"/>
    <s v="BRA"/>
    <n v="26"/>
    <n v="1"/>
    <n v="19"/>
    <n v="26"/>
    <n v="1"/>
    <n v="21"/>
    <n v="2"/>
    <n v="6"/>
    <m/>
    <s v="Y"/>
    <m/>
    <x v="35"/>
  </r>
  <r>
    <s v="Martin"/>
    <s v="Carnogursky "/>
    <s v="1300 Page #1"/>
    <s v="San Francisco"/>
    <s v="CA"/>
    <m/>
    <s v="650-722-2931"/>
    <x v="36"/>
    <s v="CON"/>
    <s v="2025/10/18"/>
    <n v="2"/>
    <n v="1"/>
    <n v="2"/>
    <m/>
    <m/>
    <m/>
    <s v="251027t215000"/>
    <n v="1"/>
    <s v="BRA"/>
    <n v="26"/>
    <n v="1"/>
    <n v="30"/>
    <n v="26"/>
    <n v="2"/>
    <n v="1"/>
    <n v="2"/>
    <n v="15"/>
    <s v="N"/>
    <s v="Y"/>
    <m/>
    <x v="36"/>
  </r>
  <r>
    <s v="Joshua"/>
    <s v="Foster"/>
    <s v="1919 High Meadow Trail"/>
    <m/>
    <m/>
    <m/>
    <s v="530-848-8071"/>
    <x v="17"/>
    <s v="LUD"/>
    <s v="2025/10/04"/>
    <n v="2"/>
    <n v="1"/>
    <n v="2"/>
    <m/>
    <m/>
    <m/>
    <s v="251029t215600"/>
    <n v="1"/>
    <s v="BRA"/>
    <n v="26"/>
    <n v="2"/>
    <n v="7"/>
    <n v="26"/>
    <n v="2"/>
    <n v="8"/>
    <n v="1"/>
    <n v="15"/>
    <m/>
    <s v="Y"/>
    <m/>
    <x v="17"/>
  </r>
  <r>
    <s v="Erin"/>
    <s v="Calfee"/>
    <s v="1915 High Meadow Trail"/>
    <m/>
    <m/>
    <m/>
    <s v="530-220-3968"/>
    <x v="37"/>
    <s v="LUD"/>
    <s v="2025/10/04"/>
    <n v="2"/>
    <n v="1"/>
    <n v="2"/>
    <m/>
    <m/>
    <m/>
    <s v="251031t204800"/>
    <n v="4"/>
    <s v="BEN"/>
    <n v="26"/>
    <n v="2"/>
    <n v="14"/>
    <n v="26"/>
    <n v="2"/>
    <n v="16"/>
    <n v="2"/>
    <n v="15"/>
    <s v="N"/>
    <s v="Y"/>
    <m/>
    <x v="37"/>
  </r>
  <r>
    <s v="David"/>
    <s v="Passmore"/>
    <s v="2368 21st Ave"/>
    <s v="San Francisco"/>
    <s v="CA"/>
    <n v="94116"/>
    <s v="650-215-0374"/>
    <x v="38"/>
    <s v="BRA"/>
    <s v="2025/09/20"/>
    <n v="2"/>
    <n v="1"/>
    <n v="2"/>
    <m/>
    <m/>
    <m/>
    <s v="251103t180200"/>
    <s v="S1"/>
    <s v="BRA"/>
    <n v="26"/>
    <n v="3"/>
    <n v="15"/>
    <n v="26"/>
    <n v="3"/>
    <n v="17"/>
    <n v="2"/>
    <n v="10"/>
    <s v="N"/>
    <s v="Y"/>
    <s v="completed"/>
    <x v="38"/>
  </r>
  <r>
    <s v="Bryn"/>
    <s v="Miller"/>
    <s v="952 Guerror St."/>
    <s v="San Francisco"/>
    <s v="CA"/>
    <n v="94110"/>
    <s v="978-460-2875"/>
    <x v="39"/>
    <s v="PGH"/>
    <s v="2025/08/16"/>
    <n v="2"/>
    <n v="1"/>
    <n v="2"/>
    <m/>
    <m/>
    <m/>
    <s v="251103t064300"/>
    <s v="S1"/>
    <s v="BRA"/>
    <n v="26"/>
    <n v="4"/>
    <n v="4"/>
    <n v="26"/>
    <n v="4"/>
    <n v="6"/>
    <n v="2"/>
    <n v="9"/>
    <m/>
    <s v="Y"/>
    <s v="completed"/>
    <x v="39"/>
  </r>
  <r>
    <s v="Daniel"/>
    <s v="Nelli"/>
    <s v="415 Sunny Slope Ave"/>
    <m/>
    <m/>
    <m/>
    <s v="704-868-3288"/>
    <x v="40"/>
    <s v="CON"/>
    <s v="2025/10/18"/>
    <n v="2"/>
    <n v="1"/>
    <n v="2"/>
    <m/>
    <m/>
    <m/>
    <s v="251103t120300"/>
    <s v="S1"/>
    <s v="BRA"/>
    <n v="26"/>
    <n v="3"/>
    <n v="28"/>
    <n v="26"/>
    <n v="3"/>
    <n v="30"/>
    <n v="2"/>
    <n v="15"/>
    <m/>
    <s v="Y"/>
    <s v="completed"/>
    <x v="40"/>
  </r>
  <r>
    <s v="Rory"/>
    <s v="O'Neill"/>
    <s v="874 58th St"/>
    <s v="Oakland"/>
    <s v="CA"/>
    <n v="94608"/>
    <s v="240-705-4959"/>
    <x v="41"/>
    <s v="CON"/>
    <s v="2025/10/18"/>
    <n v="2"/>
    <n v="1"/>
    <n v="2"/>
    <m/>
    <m/>
    <m/>
    <s v="251030t212700"/>
    <n v="4"/>
    <s v="PGH"/>
    <n v="26"/>
    <n v="3"/>
    <n v="13"/>
    <n v="26"/>
    <n v="3"/>
    <n v="15"/>
    <n v="2"/>
    <n v="15"/>
    <s v="N"/>
    <s v="Y"/>
    <m/>
    <x v="41"/>
  </r>
  <r>
    <s v="Tom"/>
    <s v="Hoke"/>
    <m/>
    <m/>
    <m/>
    <m/>
    <s v="804-441-5844"/>
    <x v="22"/>
    <s v="BEN"/>
    <s v="2025/09/19"/>
    <n v="2"/>
    <n v="1"/>
    <n v="2"/>
    <m/>
    <m/>
    <m/>
    <s v="251029t135900"/>
    <n v="1"/>
    <s v="BRA"/>
    <n v="26"/>
    <n v="3"/>
    <n v="1"/>
    <n v="26"/>
    <n v="3"/>
    <n v="2"/>
    <n v="1"/>
    <n v="5"/>
    <m/>
    <s v="Y"/>
    <m/>
    <x v="22"/>
  </r>
  <r>
    <s v="Tyler"/>
    <s v="Alves"/>
    <m/>
    <m/>
    <m/>
    <m/>
    <s v="510-612-1486"/>
    <x v="42"/>
    <s v="BEN"/>
    <s v="2025/09/19"/>
    <n v="2"/>
    <n v="1"/>
    <n v="2"/>
    <m/>
    <m/>
    <m/>
    <s v="251103t080300"/>
    <s v="S1"/>
    <s v="BEN"/>
    <n v="26"/>
    <n v="2"/>
    <n v="27"/>
    <n v="26"/>
    <n v="3"/>
    <n v="1"/>
    <n v="2"/>
    <n v="7"/>
    <m/>
    <s v="Y"/>
    <s v="completed"/>
    <x v="42"/>
  </r>
  <r>
    <s v="Craig"/>
    <s v="Haupt"/>
    <s v="1141 Vasquez Ave"/>
    <s v="Sunnyvale"/>
    <s v="CA"/>
    <n v="94086"/>
    <s v="408-329-3081"/>
    <x v="30"/>
    <s v="PGH"/>
    <s v="2025/08/23"/>
    <n v="2"/>
    <n v="1"/>
    <n v="2"/>
    <m/>
    <m/>
    <s v="LPC STS"/>
    <s v="251024t022200"/>
    <n v="1"/>
    <s v="BRA"/>
    <n v="26"/>
    <n v="3"/>
    <n v="13"/>
    <n v="26"/>
    <n v="3"/>
    <n v="14"/>
    <n v="1"/>
    <n v="4"/>
    <m/>
    <s v="Y"/>
    <m/>
    <x v="30"/>
  </r>
  <r>
    <s v="Luke"/>
    <s v="Bonham"/>
    <s v="1470 25th Ave"/>
    <s v="San Francisco"/>
    <s v="CA"/>
    <n v="94122"/>
    <s v="714-277-9643"/>
    <x v="43"/>
    <s v="PGH"/>
    <s v="2025/10/04"/>
    <n v="2"/>
    <n v="1"/>
    <n v="2"/>
    <m/>
    <m/>
    <m/>
    <s v="251103t094500"/>
    <s v="S2"/>
    <s v="PGH"/>
    <n v="26"/>
    <n v="3"/>
    <n v="21"/>
    <n v="26"/>
    <n v="3"/>
    <n v="22"/>
    <n v="1"/>
    <n v="4"/>
    <m/>
    <s v="Y"/>
    <s v="completed"/>
    <x v="43"/>
  </r>
  <r>
    <s v="Leo"/>
    <s v="Stanislaus"/>
    <s v="1874 Mohican Dr."/>
    <s v="South Lake Tahoe"/>
    <s v="CA"/>
    <m/>
    <s v="818-930-2028"/>
    <x v="29"/>
    <s v="BEN"/>
    <s v="2025/07/12"/>
    <n v="2"/>
    <n v="1"/>
    <n v="2"/>
    <m/>
    <m/>
    <m/>
    <s v="251031t110700"/>
    <n v="1"/>
    <s v="BRA"/>
    <n v="26"/>
    <n v="3"/>
    <n v="14"/>
    <n v="26"/>
    <n v="3"/>
    <n v="15"/>
    <n v="1"/>
    <n v="15"/>
    <m/>
    <s v="Y"/>
    <m/>
    <x v="29"/>
  </r>
  <r>
    <s v="Terri"/>
    <s v="Michel"/>
    <s v="115 Independence Ct."/>
    <s v="Grass Valley"/>
    <s v="CA"/>
    <n v="95945"/>
    <s v="650-248-8335"/>
    <x v="44"/>
    <s v="BRA"/>
    <s v="2025/09/20"/>
    <n v="2"/>
    <n v="1"/>
    <n v="2"/>
    <m/>
    <m/>
    <s v="LPC STS"/>
    <s v="251023t171900"/>
    <n v="1"/>
    <s v="BRA"/>
    <n v="26"/>
    <n v="3"/>
    <n v="20"/>
    <n v="26"/>
    <n v="3"/>
    <n v="22"/>
    <n v="2"/>
    <n v="8"/>
    <m/>
    <s v="Y"/>
    <m/>
    <x v="44"/>
  </r>
  <r>
    <s v="Michelle"/>
    <s v="Trame"/>
    <s v="522 66th St."/>
    <s v="Oakland"/>
    <s v="CA"/>
    <n v="94609"/>
    <s v="310-920-6071"/>
    <x v="45"/>
    <s v="BEN"/>
    <s v="2025/07/12"/>
    <n v="2"/>
    <n v="1"/>
    <n v="2"/>
    <m/>
    <m/>
    <m/>
    <s v="251030t190700"/>
    <n v="3"/>
    <s v="BRA"/>
    <n v="26"/>
    <n v="3"/>
    <n v="20"/>
    <n v="26"/>
    <n v="3"/>
    <n v="22"/>
    <n v="2"/>
    <n v="7"/>
    <s v="N"/>
    <s v="Y"/>
    <m/>
    <x v="45"/>
  </r>
  <r>
    <s v="Jenny"/>
    <s v="Rempel"/>
    <s v="1545 Dwight"/>
    <s v="Berkeley"/>
    <s v="CA"/>
    <n v="94702"/>
    <s v="559-284-6327"/>
    <x v="46"/>
    <s v="PGH"/>
    <s v="2025/10/04"/>
    <n v="2"/>
    <n v="1"/>
    <n v="2"/>
    <m/>
    <m/>
    <m/>
    <s v="251030t215500"/>
    <n v="1"/>
    <s v="BRA"/>
    <n v="26"/>
    <n v="4"/>
    <n v="3"/>
    <n v="26"/>
    <n v="4"/>
    <n v="5"/>
    <n v="2"/>
    <n v="4"/>
    <s v="D"/>
    <s v="Y"/>
    <m/>
    <x v="46"/>
  </r>
  <r>
    <s v="Shuojing"/>
    <s v="Wang"/>
    <s v="401 Camille Cir #17"/>
    <s v="San Jose"/>
    <s v="CA"/>
    <n v="95134"/>
    <s v="512-289-3570"/>
    <x v="47"/>
    <s v="PGH"/>
    <s v="2025/10/04"/>
    <n v="2"/>
    <n v="1"/>
    <n v="2"/>
    <m/>
    <m/>
    <m/>
    <s v="251021t184700"/>
    <n v="1"/>
    <s v="BRA"/>
    <n v="26"/>
    <n v="4"/>
    <n v="3"/>
    <n v="26"/>
    <n v="4"/>
    <n v="5"/>
    <n v="2"/>
    <n v="2"/>
    <m/>
    <s v="Y"/>
    <m/>
    <x v="47"/>
  </r>
  <r>
    <s v="Sarah-Marie"/>
    <s v="Chan"/>
    <s v="510 Molino Dr"/>
    <s v="San Francisco"/>
    <s v="CA"/>
    <n v="94127"/>
    <s v="907-230-4470"/>
    <x v="48"/>
    <s v="BRA"/>
    <s v="2025/09/20"/>
    <n v="2"/>
    <n v="1"/>
    <n v="2"/>
    <m/>
    <m/>
    <m/>
    <s v="251031t125300"/>
    <n v="1"/>
    <s v="BRA"/>
    <n v="26"/>
    <n v="4"/>
    <n v="10"/>
    <n v="26"/>
    <n v="4"/>
    <n v="12"/>
    <n v="2"/>
    <n v="3"/>
    <m/>
    <s v="Y"/>
    <m/>
    <x v="48"/>
  </r>
  <r>
    <s v="Andy"/>
    <s v="Crutchfield"/>
    <s v="687 Sand Harbor Rd"/>
    <s v="South Lake Tahoe"/>
    <s v="CA"/>
    <n v="96150"/>
    <s v="913-481-1918"/>
    <x v="32"/>
    <s v="BRA"/>
    <s v="2025/09/20"/>
    <n v="2"/>
    <n v="1"/>
    <n v="2"/>
    <m/>
    <m/>
    <m/>
    <s v="251031t003100"/>
    <n v="1"/>
    <s v="BRA"/>
    <n v="26"/>
    <n v="4"/>
    <n v="18"/>
    <n v="26"/>
    <n v="4"/>
    <n v="20"/>
    <n v="2"/>
    <n v="15"/>
    <m/>
    <s v="Y"/>
    <m/>
    <x v="32"/>
  </r>
  <r>
    <s v="Tracy"/>
    <s v="Ballinger"/>
    <m/>
    <m/>
    <m/>
    <m/>
    <s v="385-487-3057"/>
    <x v="49"/>
    <s v="BEN"/>
    <s v="2025/09/19"/>
    <n v="2"/>
    <n v="1"/>
    <n v="2"/>
    <m/>
    <m/>
    <m/>
    <s v="251031t100500"/>
    <n v="1"/>
    <s v="LUD"/>
    <n v="26"/>
    <n v="2"/>
    <n v="14"/>
    <n v="26"/>
    <n v="2"/>
    <n v="16"/>
    <n v="2"/>
    <n v="8"/>
    <s v="HDN"/>
    <s v="Y"/>
    <m/>
    <x v="49"/>
  </r>
  <r>
    <s v="Nikki"/>
    <s v="Valentine"/>
    <s v="140 Doris Dr."/>
    <s v="Grass Valley"/>
    <s v="CA"/>
    <m/>
    <s v="619-971-3254"/>
    <x v="50"/>
    <s v="PGH"/>
    <s v="2025/10/04"/>
    <n v="2"/>
    <n v="1"/>
    <n v="2"/>
    <m/>
    <m/>
    <m/>
    <s v="251031t060400"/>
    <n v="1"/>
    <s v="LUD"/>
    <n v="26"/>
    <n v="3"/>
    <n v="12"/>
    <n v="26"/>
    <n v="3"/>
    <n v="15"/>
    <n v="3"/>
    <n v="15"/>
    <m/>
    <s v="Y"/>
    <m/>
    <x v="50"/>
  </r>
  <r>
    <s v="Scott"/>
    <s v="Kidd"/>
    <s v="920 Carnelian Circle"/>
    <s v="Carnelian Bay"/>
    <s v="CA"/>
    <n v="96140"/>
    <s v="925-297-9683"/>
    <x v="51"/>
    <s v="LUD"/>
    <s v="2025/10/04"/>
    <n v="2"/>
    <n v="1"/>
    <n v="2"/>
    <m/>
    <m/>
    <m/>
    <s v="251022t082900"/>
    <n v="1"/>
    <s v="PGH"/>
    <n v="25"/>
    <n v="12"/>
    <n v="19"/>
    <n v="25"/>
    <n v="12"/>
    <n v="21"/>
    <n v="2"/>
    <n v="4"/>
    <m/>
    <s v="Y"/>
    <m/>
    <x v="51"/>
  </r>
  <r>
    <s v="Jared"/>
    <s v="Deck"/>
    <s v="9217 Los Puentes"/>
    <s v="Newcastle"/>
    <s v="CA"/>
    <m/>
    <s v="508-207-5771"/>
    <x v="52"/>
    <s v="PGH"/>
    <s v="2025/10/04"/>
    <n v="2"/>
    <n v="1"/>
    <n v="2"/>
    <m/>
    <m/>
    <m/>
    <s v="251029t125700"/>
    <n v="1"/>
    <s v="PGH"/>
    <n v="25"/>
    <n v="12"/>
    <n v="30"/>
    <n v="26"/>
    <n v="1"/>
    <n v="1"/>
    <n v="2"/>
    <n v="15"/>
    <m/>
    <s v="Y"/>
    <m/>
    <x v="52"/>
  </r>
  <r>
    <s v="Lexi"/>
    <s v="Arlen"/>
    <s v="2333 Eastridge Ave #1"/>
    <s v="Menlo Park"/>
    <s v="CA"/>
    <n v="94025"/>
    <s v="925-309-7104"/>
    <x v="53"/>
    <s v="PGH"/>
    <s v="2025/10/04"/>
    <n v="2"/>
    <n v="1"/>
    <n v="2"/>
    <m/>
    <m/>
    <m/>
    <s v="251030t170100"/>
    <n v="4"/>
    <s v="PGH"/>
    <n v="26"/>
    <n v="1"/>
    <n v="1"/>
    <n v="26"/>
    <n v="1"/>
    <n v="3"/>
    <n v="2"/>
    <n v="6"/>
    <s v="DN"/>
    <s v="Y"/>
    <m/>
    <x v="53"/>
  </r>
  <r>
    <s v="Isaac"/>
    <s v="Scears"/>
    <m/>
    <m/>
    <m/>
    <m/>
    <s v="510-880-9995"/>
    <x v="54"/>
    <s v="PGH"/>
    <s v="2025/09/11"/>
    <n v="2"/>
    <n v="1"/>
    <n v="2"/>
    <s v="Private WP with ~6 others"/>
    <m/>
    <m/>
    <s v="251021t203400"/>
    <n v="1"/>
    <s v="PGH"/>
    <n v="26"/>
    <n v="1"/>
    <n v="12"/>
    <n v="26"/>
    <n v="1"/>
    <n v="15"/>
    <n v="3"/>
    <n v="15"/>
    <m/>
    <s v="Y"/>
    <m/>
    <x v="54"/>
  </r>
  <r>
    <s v="Scott"/>
    <s v="Bennett"/>
    <s v="1476 Valencia - Apt 12"/>
    <s v="San Francisco"/>
    <s v="CA"/>
    <n v="94110"/>
    <s v="650-283-9916"/>
    <x v="55"/>
    <s v="PGH"/>
    <s v="2025/08/16"/>
    <n v="2"/>
    <n v="1"/>
    <n v="2"/>
    <m/>
    <m/>
    <m/>
    <s v="251025t195500"/>
    <n v="1"/>
    <s v="PGH"/>
    <n v="26"/>
    <n v="1"/>
    <n v="17"/>
    <n v="26"/>
    <n v="1"/>
    <n v="19"/>
    <n v="2"/>
    <n v="6"/>
    <m/>
    <s v="Y"/>
    <m/>
    <x v="55"/>
  </r>
  <r>
    <s v="Andreas"/>
    <s v="Jorgensen"/>
    <s v="4101 32nd St."/>
    <s v="Sacramento"/>
    <s v="CA"/>
    <m/>
    <s v="503-330-4897"/>
    <x v="56"/>
    <s v="LUD"/>
    <s v="2025/10/04"/>
    <n v="2"/>
    <n v="1"/>
    <n v="2"/>
    <m/>
    <m/>
    <m/>
    <s v="251023t122300"/>
    <n v="4"/>
    <s v="BEN"/>
    <n v="26"/>
    <n v="3"/>
    <n v="27"/>
    <n v="26"/>
    <n v="3"/>
    <n v="29"/>
    <n v="2"/>
    <n v="15"/>
    <m/>
    <s v="Y"/>
    <m/>
    <x v="56"/>
  </r>
  <r>
    <s v="Jason"/>
    <s v="Martel-Dye"/>
    <s v="4216 8th Ave"/>
    <s v="Sacramento"/>
    <s v="CA"/>
    <n v="95817"/>
    <s v="831-210-1162"/>
    <x v="57"/>
    <s v="LUD"/>
    <s v="2025/10/04"/>
    <n v="2"/>
    <n v="1"/>
    <n v="2"/>
    <s v="failed e-mail test (repeatedly)"/>
    <m/>
    <m/>
    <s v="251022t134000"/>
    <n v="1"/>
    <s v="PGH"/>
    <n v="26"/>
    <n v="1"/>
    <n v="30"/>
    <n v="26"/>
    <n v="2"/>
    <n v="1"/>
    <n v="2"/>
    <n v="15"/>
    <m/>
    <m/>
    <s v="declined"/>
    <x v="57"/>
  </r>
  <r>
    <s v="Alex"/>
    <s v="Newcomb"/>
    <s v="5264 Minerva Ave"/>
    <s v="Sacramento"/>
    <s v="CA"/>
    <n v="95819"/>
    <s v="916-502-1101"/>
    <x v="58"/>
    <s v="LUD"/>
    <s v="2025/10/04"/>
    <n v="2"/>
    <n v="1"/>
    <n v="2"/>
    <m/>
    <m/>
    <m/>
    <s v="251105t223600"/>
    <s v="S1"/>
    <s v="BEN"/>
    <n v="26"/>
    <n v="2"/>
    <n v="20"/>
    <n v="26"/>
    <n v="2"/>
    <n v="22"/>
    <n v="2"/>
    <n v="5"/>
    <m/>
    <s v="Y"/>
    <s v="completed"/>
    <x v="58"/>
  </r>
  <r>
    <s v="Benjamin"/>
    <s v="Spielman"/>
    <s v="451 30th Ave"/>
    <s v="San Francisco"/>
    <s v="CA"/>
    <n v="94121"/>
    <s v="301-830-0735"/>
    <x v="59"/>
    <s v="BRA"/>
    <s v="2025/09/20"/>
    <n v="2"/>
    <n v="1"/>
    <n v="2"/>
    <m/>
    <m/>
    <m/>
    <s v="251021t205900"/>
    <n v="3"/>
    <s v="PGH"/>
    <n v="26"/>
    <n v="1"/>
    <n v="17"/>
    <n v="26"/>
    <n v="1"/>
    <n v="19"/>
    <n v="2"/>
    <n v="6"/>
    <s v="D"/>
    <s v="Y"/>
    <m/>
    <x v="59"/>
  </r>
  <r>
    <s v="Jake"/>
    <s v="Parkhurst"/>
    <s v="570 Marlestra Rd"/>
    <s v="Pinole"/>
    <s v="CA"/>
    <n v="94564"/>
    <s v="510-293-1751"/>
    <x v="60"/>
    <s v="PGH"/>
    <s v="2025/10/04"/>
    <n v="2"/>
    <n v="1"/>
    <n v="2"/>
    <m/>
    <m/>
    <m/>
    <s v="251106t060800"/>
    <n v="1"/>
    <s v="PGH"/>
    <n v="26"/>
    <n v="2"/>
    <n v="6"/>
    <n v="26"/>
    <n v="2"/>
    <n v="8"/>
    <n v="2"/>
    <n v="15"/>
    <m/>
    <s v="Y"/>
    <m/>
    <x v="60"/>
  </r>
  <r>
    <s v="Katie"/>
    <s v="Pofahl"/>
    <s v="687 Sand Harbor Rd"/>
    <s v="South Lake Tahoe"/>
    <s v="CA"/>
    <n v="96150"/>
    <s v="925-255-3788"/>
    <x v="61"/>
    <s v="BRA"/>
    <s v="2025/09/20"/>
    <n v="2"/>
    <n v="1"/>
    <n v="2"/>
    <m/>
    <m/>
    <m/>
    <s v="251031t003700"/>
    <n v="1"/>
    <s v="PGH"/>
    <n v="26"/>
    <n v="2"/>
    <n v="14"/>
    <n v="26"/>
    <n v="2"/>
    <n v="17"/>
    <n v="3"/>
    <n v="15"/>
    <m/>
    <s v="Y"/>
    <m/>
    <x v="61"/>
  </r>
  <r>
    <s v="Danielle"/>
    <s v="YoungSmith"/>
    <m/>
    <s v="Truckee"/>
    <s v="CA"/>
    <m/>
    <s v="720-210-7930"/>
    <x v="62"/>
    <s v="PGH"/>
    <s v="2025/07/19"/>
    <n v="2"/>
    <n v="1"/>
    <n v="2"/>
    <m/>
    <m/>
    <m/>
    <s v="251103t070200"/>
    <s v="S1"/>
    <s v="PGH"/>
    <n v="26"/>
    <n v="1"/>
    <n v="17"/>
    <n v="26"/>
    <n v="1"/>
    <n v="19"/>
    <n v="2"/>
    <n v="3"/>
    <m/>
    <s v="Y"/>
    <s v="completed"/>
    <x v="62"/>
  </r>
  <r>
    <s v="Stephen"/>
    <s v="McKinley"/>
    <s v="1610 5th St."/>
    <s v="Berkeley"/>
    <s v="CA"/>
    <n v="94710"/>
    <s v="781-336-8940"/>
    <x v="63"/>
    <s v="PGH"/>
    <s v="2025/08/23"/>
    <n v="2"/>
    <n v="1"/>
    <n v="2"/>
    <m/>
    <m/>
    <m/>
    <s v="251021t175000"/>
    <n v="4"/>
    <s v="LUD"/>
    <n v="26"/>
    <n v="2"/>
    <n v="19"/>
    <n v="26"/>
    <n v="2"/>
    <n v="23"/>
    <n v="4"/>
    <n v="15"/>
    <s v="DN"/>
    <s v="Y"/>
    <m/>
    <x v="63"/>
  </r>
  <r>
    <s v="Keith"/>
    <s v="Lemay"/>
    <s v="812 Hazel Dr."/>
    <s v="South Lake Tahoe"/>
    <s v="CA"/>
    <n v="96150"/>
    <s v="360-510-5824"/>
    <x v="64"/>
    <s v="LUD"/>
    <s v="2025/10/04"/>
    <n v="2"/>
    <n v="1"/>
    <n v="2"/>
    <m/>
    <m/>
    <m/>
    <s v="251029t185900"/>
    <n v="1"/>
    <s v="PGH"/>
    <n v="26"/>
    <n v="2"/>
    <n v="21"/>
    <n v="26"/>
    <n v="2"/>
    <n v="22"/>
    <n v="1"/>
    <n v="4"/>
    <m/>
    <s v="Y"/>
    <m/>
    <x v="64"/>
  </r>
  <r>
    <s v="Robert"/>
    <s v="Lensch"/>
    <s v="15248 Bohelman"/>
    <s v="Saratoga"/>
    <s v="CA"/>
    <n v="95070"/>
    <s v="408-893-6751"/>
    <x v="65"/>
    <s v="PGH"/>
    <s v="2025/10/04"/>
    <n v="2"/>
    <n v="1"/>
    <n v="2"/>
    <m/>
    <m/>
    <s v="LPC STS"/>
    <s v="251031t155300"/>
    <n v="1"/>
    <s v="PGH"/>
    <n v="26"/>
    <n v="2"/>
    <n v="21"/>
    <n v="26"/>
    <n v="2"/>
    <n v="23"/>
    <n v="2"/>
    <n v="10"/>
    <m/>
    <s v="Y"/>
    <m/>
    <x v="65"/>
  </r>
  <r>
    <s v="Kate"/>
    <s v="Radu"/>
    <s v="15 Skylonda Drive"/>
    <s v="Redwood City"/>
    <s v="CA"/>
    <n v="94062"/>
    <s v="214-402-3918"/>
    <x v="66"/>
    <s v="PGH"/>
    <s v="2025/08/23"/>
    <n v="2"/>
    <n v="1"/>
    <n v="2"/>
    <m/>
    <m/>
    <m/>
    <s v="251028t114100"/>
    <n v="1"/>
    <s v="PGH"/>
    <n v="26"/>
    <n v="2"/>
    <n v="27"/>
    <n v="26"/>
    <n v="3"/>
    <n v="2"/>
    <n v="3"/>
    <n v="15"/>
    <m/>
    <s v="Y"/>
    <m/>
    <x v="66"/>
  </r>
  <r>
    <s v="Louis"/>
    <s v="Schueller"/>
    <s v="15 Skylonda Drive"/>
    <s v="Redwood City"/>
    <s v="CA"/>
    <n v="94062"/>
    <s v="650-743-5226"/>
    <x v="67"/>
    <s v="PGH"/>
    <s v="2025/08/23"/>
    <n v="2"/>
    <n v="1"/>
    <n v="2"/>
    <m/>
    <m/>
    <m/>
    <s v="251028t113000"/>
    <n v="1"/>
    <s v="PGH"/>
    <n v="26"/>
    <n v="2"/>
    <n v="27"/>
    <n v="26"/>
    <n v="3"/>
    <n v="2"/>
    <n v="3"/>
    <n v="15"/>
    <m/>
    <m/>
    <s v="declined"/>
    <x v="67"/>
  </r>
  <r>
    <s v="Will"/>
    <s v="Smithers"/>
    <s v="533 Wildwood Way"/>
    <s v="San Francisco"/>
    <s v="CA"/>
    <n v="94112"/>
    <s v="707-363-0444"/>
    <x v="68"/>
    <s v="LUD"/>
    <s v="2025/10/04"/>
    <n v="2"/>
    <n v="1"/>
    <n v="2"/>
    <m/>
    <m/>
    <m/>
    <s v="251023t061900"/>
    <n v="2"/>
    <s v="BRA"/>
    <n v="26"/>
    <n v="3"/>
    <n v="6"/>
    <n v="26"/>
    <n v="3"/>
    <n v="8"/>
    <n v="2"/>
    <n v="6"/>
    <m/>
    <s v="Y"/>
    <m/>
    <x v="68"/>
  </r>
  <r>
    <s v="James"/>
    <s v="Lindemier"/>
    <m/>
    <s v="Reno"/>
    <s v="NV"/>
    <m/>
    <s v="775-530-5993"/>
    <x v="69"/>
    <s v="PGH"/>
    <s v="2025/07/19"/>
    <n v="2"/>
    <n v="1"/>
    <n v="2"/>
    <s v="problem with e-mail test(?)"/>
    <m/>
    <m/>
    <s v="251023t143345"/>
    <n v="1"/>
    <s v="PGH"/>
    <n v="26"/>
    <n v="3"/>
    <n v="6"/>
    <n v="26"/>
    <n v="3"/>
    <n v="8"/>
    <n v="2"/>
    <n v="15"/>
    <m/>
    <s v="Y"/>
    <m/>
    <x v="69"/>
  </r>
  <r>
    <s v="Tanner"/>
    <s v="Neville"/>
    <m/>
    <m/>
    <m/>
    <m/>
    <s v="510-919-5705"/>
    <x v="70"/>
    <s v="BEN"/>
    <s v="2025/09/19"/>
    <n v="2"/>
    <n v="1"/>
    <n v="2"/>
    <m/>
    <m/>
    <m/>
    <s v="251108t113400"/>
    <s v="S1"/>
    <s v="PGH"/>
    <n v="26"/>
    <n v="3"/>
    <n v="8"/>
    <n v="26"/>
    <n v="3"/>
    <n v="10"/>
    <n v="2"/>
    <n v="7"/>
    <s v="D"/>
    <s v="Y"/>
    <m/>
    <x v="70"/>
  </r>
  <r>
    <s v="Steven"/>
    <s v="Pong"/>
    <s v="732 56th St."/>
    <s v="Oakland"/>
    <s v="CA"/>
    <n v="94609"/>
    <s v="646-708-3782"/>
    <x v="71"/>
    <s v="BEN"/>
    <s v="2025/07/12"/>
    <n v="2"/>
    <n v="1"/>
    <n v="2"/>
    <m/>
    <m/>
    <m/>
    <s v="251029t102600"/>
    <n v="5"/>
    <s v="PGH"/>
    <n v="26"/>
    <n v="3"/>
    <n v="27"/>
    <n v="26"/>
    <n v="3"/>
    <n v="29"/>
    <n v="2"/>
    <n v="6"/>
    <s v="DN"/>
    <s v="Y"/>
    <m/>
    <x v="71"/>
  </r>
  <r>
    <s v="Alex"/>
    <s v="Govaerts"/>
    <s v="1740 Laguna St #401"/>
    <s v="San Francisco"/>
    <s v="CA"/>
    <m/>
    <s v="415-610-1754"/>
    <x v="72"/>
    <s v="CON"/>
    <s v="2025/10/18"/>
    <n v="2"/>
    <n v="1"/>
    <n v="2"/>
    <m/>
    <m/>
    <m/>
    <s v="251024t115000"/>
    <n v="1"/>
    <s v="PGH"/>
    <n v="26"/>
    <n v="3"/>
    <n v="19"/>
    <n v="26"/>
    <n v="3"/>
    <n v="20"/>
    <n v="1"/>
    <n v="15"/>
    <m/>
    <s v="Y"/>
    <m/>
    <x v="72"/>
  </r>
  <r>
    <s v="Wister"/>
    <s v="Walcott"/>
    <s v="857 Ashbury St."/>
    <s v="San Francisco"/>
    <s v="CA"/>
    <n v="94117"/>
    <s v="415-867-6799"/>
    <x v="73"/>
    <s v="LUD"/>
    <s v="2025/10/04"/>
    <n v="2"/>
    <n v="1"/>
    <n v="2"/>
    <m/>
    <m/>
    <m/>
    <s v="251027t105300"/>
    <n v="1"/>
    <s v="PGH"/>
    <n v="26"/>
    <n v="3"/>
    <n v="20"/>
    <n v="26"/>
    <n v="3"/>
    <n v="22"/>
    <n v="2"/>
    <n v="6"/>
    <s v="HDN"/>
    <s v="Y"/>
    <m/>
    <x v="73"/>
  </r>
  <r>
    <s v="Chris"/>
    <s v="Hansen"/>
    <m/>
    <m/>
    <m/>
    <m/>
    <s v="831-238-0321"/>
    <x v="74"/>
    <s v="PGH"/>
    <s v="2025/07/19"/>
    <n v="2"/>
    <n v="1"/>
    <n v="2"/>
    <m/>
    <m/>
    <m/>
    <s v="251030t083400"/>
    <n v="1"/>
    <s v="PGH"/>
    <n v="26"/>
    <n v="3"/>
    <n v="25"/>
    <n v="26"/>
    <n v="3"/>
    <n v="27"/>
    <n v="2"/>
    <n v="2"/>
    <s v="D"/>
    <s v="Y"/>
    <m/>
    <x v="20"/>
  </r>
  <r>
    <s v="Laina"/>
    <s v="Hall"/>
    <s v="1949 Rose St."/>
    <s v="Berkeley"/>
    <s v="CA"/>
    <n v="94709"/>
    <s v="906-589-4074"/>
    <x v="75"/>
    <s v="BEN"/>
    <s v="2025/07/12"/>
    <n v="2"/>
    <n v="1"/>
    <n v="2"/>
    <m/>
    <m/>
    <m/>
    <s v="251026t131100"/>
    <n v="1"/>
    <s v="PGH"/>
    <n v="26"/>
    <n v="4"/>
    <n v="3"/>
    <n v="26"/>
    <n v="4"/>
    <n v="5"/>
    <n v="2"/>
    <n v="8"/>
    <m/>
    <s v="Y"/>
    <m/>
    <x v="74"/>
  </r>
  <r>
    <s v="Tracy"/>
    <s v="Cuneo"/>
    <m/>
    <s v="Truckee"/>
    <s v="CA"/>
    <m/>
    <s v="530-414-6197"/>
    <x v="76"/>
    <s v="PGH"/>
    <s v="2025/07/19"/>
    <n v="2"/>
    <n v="1"/>
    <n v="2"/>
    <m/>
    <m/>
    <m/>
    <s v="251021t153000"/>
    <n v="5"/>
    <s v="BRA"/>
    <n v="26"/>
    <n v="4"/>
    <n v="10"/>
    <n v="26"/>
    <n v="4"/>
    <n v="12"/>
    <n v="2"/>
    <n v="9"/>
    <m/>
    <s v="Y"/>
    <m/>
    <x v="49"/>
  </r>
  <r>
    <s v="Danee"/>
    <s v="Kenyon"/>
    <s v="111 N. Rengstorff Ave"/>
    <s v="Mountain View"/>
    <s v="CA"/>
    <n v="94043"/>
    <s v="760-859-7653"/>
    <x v="77"/>
    <s v="PGH"/>
    <s v="2025/08/16"/>
    <n v="2"/>
    <n v="1"/>
    <n v="2"/>
    <m/>
    <m/>
    <m/>
    <s v="251028t212100"/>
    <n v="1"/>
    <s v="PGH"/>
    <n v="26"/>
    <n v="4"/>
    <n v="17"/>
    <n v="26"/>
    <n v="4"/>
    <n v="19"/>
    <n v="2"/>
    <n v="15"/>
    <s v="N"/>
    <s v="Y"/>
    <m/>
    <x v="75"/>
  </r>
  <r>
    <s v="David"/>
    <s v="Wolfowitz"/>
    <m/>
    <m/>
    <m/>
    <m/>
    <s v="301-642-6473"/>
    <x v="78"/>
    <s v="CON"/>
    <s v="2025/10/18"/>
    <m/>
    <m/>
    <n v="2"/>
    <m/>
    <m/>
    <m/>
    <s v="251103t094300"/>
    <n v="6"/>
    <s v="LUD"/>
    <n v="26"/>
    <n v="2"/>
    <n v="27"/>
    <n v="26"/>
    <n v="3"/>
    <n v="1"/>
    <n v="2"/>
    <n v="15"/>
    <m/>
    <s v="Y"/>
    <m/>
    <x v="76"/>
  </r>
  <r>
    <s v="Holly"/>
    <s v="Lemay"/>
    <m/>
    <m/>
    <m/>
    <m/>
    <s v="225-505-0593"/>
    <x v="79"/>
    <s v="LUD"/>
    <s v="2025/10/04"/>
    <m/>
    <m/>
    <n v="2"/>
    <m/>
    <m/>
    <m/>
    <s v="251108t083300"/>
    <n v="1"/>
    <s v="BEN"/>
    <n v="26"/>
    <n v="3"/>
    <n v="1"/>
    <n v="26"/>
    <n v="3"/>
    <n v="3"/>
    <n v="2"/>
    <n v="2"/>
    <m/>
    <s v="Y"/>
    <m/>
    <x v="77"/>
  </r>
  <r>
    <m/>
    <m/>
    <m/>
    <m/>
    <m/>
    <m/>
    <m/>
    <x v="8"/>
    <m/>
    <m/>
    <m/>
    <m/>
    <m/>
    <m/>
    <m/>
    <m/>
    <m/>
    <m/>
    <m/>
    <m/>
    <m/>
    <m/>
    <m/>
    <m/>
    <m/>
    <m/>
    <m/>
    <m/>
    <m/>
    <m/>
    <x v="8"/>
  </r>
  <r>
    <s v="Jeff"/>
    <s v="Guild"/>
    <m/>
    <m/>
    <m/>
    <m/>
    <s v="510-708-7701"/>
    <x v="80"/>
    <s v="LUD"/>
    <s v="2025/04/21"/>
    <n v="1"/>
    <n v="1"/>
    <n v="1"/>
    <s v="carrier"/>
    <m/>
    <m/>
    <s v="251022t095500"/>
    <n v="1"/>
    <s v="BEN"/>
    <n v="26"/>
    <n v="4"/>
    <n v="17"/>
    <n v="26"/>
    <n v="4"/>
    <n v="19"/>
    <n v="2"/>
    <n v="6"/>
    <s v="D"/>
    <s v="Y"/>
    <m/>
    <x v="78"/>
  </r>
  <r>
    <s v="Hannah"/>
    <s v="Mitchell"/>
    <s v="449 Valle Vista Ave"/>
    <s v="Oakland"/>
    <s v="CA"/>
    <n v="94610"/>
    <s v="510-282-2108"/>
    <x v="81"/>
    <s v="CON"/>
    <s v="2025/10/18"/>
    <n v="1"/>
    <n v="1"/>
    <n v="1"/>
    <m/>
    <m/>
    <m/>
    <s v="251029t123700"/>
    <n v="1"/>
    <s v="BRA"/>
    <n v="26"/>
    <n v="2"/>
    <n v="28"/>
    <n v="26"/>
    <n v="3"/>
    <n v="1"/>
    <n v="1"/>
    <n v="4"/>
    <m/>
    <m/>
    <s v="declined"/>
    <x v="79"/>
  </r>
  <r>
    <s v="Amy"/>
    <s v="Burdick"/>
    <s v="10145 Morris Valley Rd"/>
    <s v="Truckee"/>
    <s v="CA"/>
    <m/>
    <s v="578-859-4519"/>
    <x v="82"/>
    <s v="BEN"/>
    <s v="2025/09/30"/>
    <n v="1"/>
    <n v="1"/>
    <n v="1"/>
    <m/>
    <m/>
    <m/>
    <s v="251027t211700"/>
    <n v="1"/>
    <s v="BRA"/>
    <n v="26"/>
    <n v="3"/>
    <n v="10"/>
    <n v="26"/>
    <n v="3"/>
    <n v="12"/>
    <n v="2"/>
    <n v="15"/>
    <m/>
    <s v="Y"/>
    <m/>
    <x v="80"/>
  </r>
  <r>
    <s v="Joe"/>
    <s v="Asnault"/>
    <m/>
    <m/>
    <m/>
    <m/>
    <s v="530-966-5617"/>
    <x v="83"/>
    <s v="LUD"/>
    <s v="2025/04/21"/>
    <n v="1"/>
    <n v="1"/>
    <n v="1"/>
    <s v="carrier"/>
    <m/>
    <m/>
    <s v="251022t115000"/>
    <n v="1"/>
    <s v="LUD"/>
    <n v="26"/>
    <n v="3"/>
    <n v="27"/>
    <n v="26"/>
    <n v="3"/>
    <n v="29"/>
    <n v="2"/>
    <n v="6"/>
    <m/>
    <s v="Y"/>
    <m/>
    <x v="81"/>
  </r>
  <r>
    <s v="Lauren"/>
    <s v="Tackbary"/>
    <s v="11030 Sundown Place"/>
    <s v="Grass Valley"/>
    <s v="CA"/>
    <m/>
    <s v="630-408-0591"/>
    <x v="84"/>
    <s v="CON"/>
    <s v="2025/10/18"/>
    <n v="1"/>
    <n v="1"/>
    <n v="1"/>
    <m/>
    <m/>
    <m/>
    <s v="251106t184300"/>
    <s v="S2"/>
    <s v="LUD"/>
    <n v="26"/>
    <n v="3"/>
    <n v="20"/>
    <n v="26"/>
    <n v="3"/>
    <n v="22"/>
    <n v="2"/>
    <n v="9"/>
    <m/>
    <s v="Y"/>
    <s v="completed"/>
    <x v="82"/>
  </r>
  <r>
    <s v="Rani"/>
    <s v="Zimand"/>
    <s v="10145 Morris Valley Rd"/>
    <s v="Truckee"/>
    <s v="CA"/>
    <m/>
    <s v="301-502-1345"/>
    <x v="85"/>
    <s v="BEN"/>
    <s v="2025/09/30"/>
    <n v="1"/>
    <n v="1"/>
    <n v="1"/>
    <m/>
    <m/>
    <m/>
    <s v="251106t064100"/>
    <s v="S1"/>
    <s v="PGH"/>
    <n v="26"/>
    <n v="2"/>
    <n v="13"/>
    <n v="26"/>
    <n v="2"/>
    <n v="14"/>
    <n v="1"/>
    <n v="15"/>
    <m/>
    <s v="Y"/>
    <m/>
    <x v="83"/>
  </r>
  <r>
    <m/>
    <m/>
    <m/>
    <m/>
    <m/>
    <m/>
    <m/>
    <x v="8"/>
    <m/>
    <m/>
    <m/>
    <m/>
    <m/>
    <m/>
    <m/>
    <m/>
    <m/>
    <m/>
    <m/>
    <m/>
    <m/>
    <m/>
    <m/>
    <m/>
    <m/>
    <m/>
    <m/>
    <m/>
    <m/>
    <m/>
    <x v="84"/>
  </r>
  <r>
    <m/>
    <m/>
    <m/>
    <m/>
    <m/>
    <m/>
    <m/>
    <x v="8"/>
    <m/>
    <m/>
    <m/>
    <m/>
    <m/>
    <m/>
    <m/>
    <m/>
    <m/>
    <m/>
    <m/>
    <m/>
    <m/>
    <m/>
    <m/>
    <m/>
    <m/>
    <m/>
    <m/>
    <m/>
    <m/>
    <m/>
    <x v="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0B3C5A-4B59-4D50-838B-357B74F7355E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C89" firstHeaderRow="0" firstDataRow="1" firstDataCol="1"/>
  <pivotFields count="31">
    <pivotField showAll="0"/>
    <pivotField showAll="0"/>
    <pivotField showAll="0"/>
    <pivotField showAll="0"/>
    <pivotField showAll="0"/>
    <pivotField showAll="0"/>
    <pivotField showAll="0"/>
    <pivotField showAll="0">
      <items count="87">
        <item x="32"/>
        <item x="56"/>
        <item x="72"/>
        <item x="58"/>
        <item x="82"/>
        <item x="24"/>
        <item x="28"/>
        <item x="19"/>
        <item x="59"/>
        <item x="34"/>
        <item x="39"/>
        <item x="48"/>
        <item x="1"/>
        <item x="74"/>
        <item x="20"/>
        <item x="7"/>
        <item x="30"/>
        <item x="38"/>
        <item x="77"/>
        <item x="40"/>
        <item x="69"/>
        <item x="78"/>
        <item x="62"/>
        <item x="2"/>
        <item x="37"/>
        <item x="13"/>
        <item x="4"/>
        <item x="35"/>
        <item x="22"/>
        <item x="79"/>
        <item x="0"/>
        <item x="54"/>
        <item x="60"/>
        <item x="12"/>
        <item x="83"/>
        <item x="57"/>
        <item x="52"/>
        <item x="46"/>
        <item x="80"/>
        <item x="23"/>
        <item x="17"/>
        <item x="11"/>
        <item x="61"/>
        <item x="66"/>
        <item x="64"/>
        <item x="6"/>
        <item x="75"/>
        <item x="84"/>
        <item x="15"/>
        <item x="29"/>
        <item x="53"/>
        <item x="85"/>
        <item x="67"/>
        <item x="43"/>
        <item x="36"/>
        <item x="31"/>
        <item x="81"/>
        <item x="63"/>
        <item x="27"/>
        <item x="50"/>
        <item x="10"/>
        <item x="45"/>
        <item x="3"/>
        <item x="25"/>
        <item x="21"/>
        <item x="65"/>
        <item x="41"/>
        <item x="14"/>
        <item x="18"/>
        <item x="51"/>
        <item x="47"/>
        <item x="33"/>
        <item x="5"/>
        <item x="55"/>
        <item x="71"/>
        <item x="16"/>
        <item x="70"/>
        <item x="44"/>
        <item x="26"/>
        <item x="76"/>
        <item x="49"/>
        <item x="42"/>
        <item x="9"/>
        <item x="68"/>
        <item x="73"/>
        <item x="8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6">
        <item x="18"/>
        <item x="59"/>
        <item x="29"/>
        <item x="0"/>
        <item x="26"/>
        <item x="2"/>
        <item x="55"/>
        <item x="4"/>
        <item x="33"/>
        <item x="28"/>
        <item x="38"/>
        <item x="66"/>
        <item x="83"/>
        <item x="34"/>
        <item x="45"/>
        <item x="80"/>
        <item x="49"/>
        <item x="52"/>
        <item x="11"/>
        <item x="19"/>
        <item x="79"/>
        <item x="24"/>
        <item x="23"/>
        <item x="15"/>
        <item x="60"/>
        <item x="22"/>
        <item x="43"/>
        <item x="42"/>
        <item x="75"/>
        <item x="10"/>
        <item x="17"/>
        <item x="30"/>
        <item x="40"/>
        <item x="20"/>
        <item x="78"/>
        <item x="67"/>
        <item x="53"/>
        <item x="27"/>
        <item x="21"/>
        <item x="50"/>
        <item x="35"/>
        <item x="68"/>
        <item x="77"/>
        <item x="76"/>
        <item x="63"/>
        <item x="48"/>
        <item x="14"/>
        <item x="65"/>
        <item x="74"/>
        <item x="37"/>
        <item x="70"/>
        <item x="46"/>
        <item x="81"/>
        <item x="39"/>
        <item x="16"/>
        <item x="6"/>
        <item x="61"/>
        <item x="9"/>
        <item x="13"/>
        <item x="57"/>
        <item x="47"/>
        <item x="3"/>
        <item x="1"/>
        <item x="32"/>
        <item x="69"/>
        <item x="56"/>
        <item x="44"/>
        <item x="82"/>
        <item x="54"/>
        <item x="5"/>
        <item x="64"/>
        <item x="51"/>
        <item x="25"/>
        <item x="36"/>
        <item x="73"/>
        <item x="31"/>
        <item x="62"/>
        <item x="71"/>
        <item x="12"/>
        <item x="7"/>
        <item x="58"/>
        <item x="72"/>
        <item x="41"/>
        <item x="8"/>
        <item x="84"/>
        <item t="default"/>
      </items>
    </pivotField>
  </pivotFields>
  <rowFields count="1">
    <field x="30"/>
  </rowFields>
  <rowItems count="8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 t="grand">
      <x/>
    </i>
  </rowItems>
  <colFields count="1">
    <field x="-2"/>
  </colFields>
  <colItems count="2">
    <i>
      <x/>
    </i>
    <i i="1">
      <x v="1"/>
    </i>
  </colItems>
  <dataFields count="2">
    <dataField name="Max of P-Days" fld="12" subtotal="max" baseField="30" baseItem="1"/>
    <dataField name="Min of P-Days" fld="12" subtotal="min" baseField="30" baseItem="1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mailto:terri.michel@gmail.com" TargetMode="External"/><Relationship Id="rId21" Type="http://schemas.openxmlformats.org/officeDocument/2006/relationships/hyperlink" Target="mailto:tracyballinger@gmail.com" TargetMode="External"/><Relationship Id="rId42" Type="http://schemas.openxmlformats.org/officeDocument/2006/relationships/hyperlink" Target="mailto:shuojingwang@gmail.com" TargetMode="External"/><Relationship Id="rId47" Type="http://schemas.openxmlformats.org/officeDocument/2006/relationships/hyperlink" Target="mailto:propwash876@gmail.com" TargetMode="External"/><Relationship Id="rId63" Type="http://schemas.openxmlformats.org/officeDocument/2006/relationships/hyperlink" Target="mailto:lciemniecki@gmail.com" TargetMode="External"/><Relationship Id="rId68" Type="http://schemas.openxmlformats.org/officeDocument/2006/relationships/hyperlink" Target="mailto:craigmhaupt@gmail.com" TargetMode="External"/><Relationship Id="rId2" Type="http://schemas.openxmlformats.org/officeDocument/2006/relationships/hyperlink" Target="mailto:charlie.hotz@gmail.com" TargetMode="External"/><Relationship Id="rId16" Type="http://schemas.openxmlformats.org/officeDocument/2006/relationships/hyperlink" Target="mailto:karadu422@gmail.com" TargetMode="External"/><Relationship Id="rId29" Type="http://schemas.openxmlformats.org/officeDocument/2006/relationships/hyperlink" Target="mailto:kapofahl@gmail.com" TargetMode="External"/><Relationship Id="rId11" Type="http://schemas.openxmlformats.org/officeDocument/2006/relationships/hyperlink" Target="mailto:veronica.chouinard@gmail.com" TargetMode="External"/><Relationship Id="rId24" Type="http://schemas.openxmlformats.org/officeDocument/2006/relationships/hyperlink" Target="mailto:hal_tompkins@yahoo.com" TargetMode="External"/><Relationship Id="rId32" Type="http://schemas.openxmlformats.org/officeDocument/2006/relationships/hyperlink" Target="mailto:amyburdick20@gmail.com" TargetMode="External"/><Relationship Id="rId37" Type="http://schemas.openxmlformats.org/officeDocument/2006/relationships/hyperlink" Target="mailto:amychen2012@gmail.com" TargetMode="External"/><Relationship Id="rId40" Type="http://schemas.openxmlformats.org/officeDocument/2006/relationships/hyperlink" Target="mailto:jondlittle@gmail.com" TargetMode="External"/><Relationship Id="rId45" Type="http://schemas.openxmlformats.org/officeDocument/2006/relationships/hyperlink" Target="mailto:tyler11alves@gmail.com" TargetMode="External"/><Relationship Id="rId53" Type="http://schemas.openxmlformats.org/officeDocument/2006/relationships/hyperlink" Target="mailto:joshuafoster1@gmail.com" TargetMode="External"/><Relationship Id="rId58" Type="http://schemas.openxmlformats.org/officeDocument/2006/relationships/hyperlink" Target="mailto:smattoon@gmail.com" TargetMode="External"/><Relationship Id="rId66" Type="http://schemas.openxmlformats.org/officeDocument/2006/relationships/hyperlink" Target="mailto:leo.stanislas@gmail.com" TargetMode="External"/><Relationship Id="rId74" Type="http://schemas.openxmlformats.org/officeDocument/2006/relationships/hyperlink" Target="mailto:dwolfowitz@gmail.com" TargetMode="External"/><Relationship Id="rId5" Type="http://schemas.openxmlformats.org/officeDocument/2006/relationships/hyperlink" Target="mailto:lainahall606@gmail.com" TargetMode="External"/><Relationship Id="rId61" Type="http://schemas.openxmlformats.org/officeDocument/2006/relationships/hyperlink" Target="mailto:roryoneill6@gmail.com" TargetMode="External"/><Relationship Id="rId19" Type="http://schemas.openxmlformats.org/officeDocument/2006/relationships/hyperlink" Target="mailto:noahbudnick@gmail.com" TargetMode="External"/><Relationship Id="rId14" Type="http://schemas.openxmlformats.org/officeDocument/2006/relationships/hyperlink" Target="mailto:clewis8255@gmail.com" TargetMode="External"/><Relationship Id="rId22" Type="http://schemas.openxmlformats.org/officeDocument/2006/relationships/hyperlink" Target="mailto:tanner.neville@gmail.com" TargetMode="External"/><Relationship Id="rId27" Type="http://schemas.openxmlformats.org/officeDocument/2006/relationships/hyperlink" Target="mailto:d1passmore@yahoo.com" TargetMode="External"/><Relationship Id="rId30" Type="http://schemas.openxmlformats.org/officeDocument/2006/relationships/hyperlink" Target="mailto:ajcrutch@gmail.com" TargetMode="External"/><Relationship Id="rId35" Type="http://schemas.openxmlformats.org/officeDocument/2006/relationships/hyperlink" Target="mailto:lexiarlen@gmail.com" TargetMode="External"/><Relationship Id="rId43" Type="http://schemas.openxmlformats.org/officeDocument/2006/relationships/hyperlink" Target="mailto:jenny.m.rempel@gmail.com" TargetMode="External"/><Relationship Id="rId48" Type="http://schemas.openxmlformats.org/officeDocument/2006/relationships/hyperlink" Target="mailto:bjraudabaugh@gmail.com" TargetMode="External"/><Relationship Id="rId56" Type="http://schemas.openxmlformats.org/officeDocument/2006/relationships/hyperlink" Target="mailto:tk6174@gmail.com" TargetMode="External"/><Relationship Id="rId64" Type="http://schemas.openxmlformats.org/officeDocument/2006/relationships/hyperlink" Target="mailto:martin.p.carnogursky@gmail.com" TargetMode="External"/><Relationship Id="rId69" Type="http://schemas.openxmlformats.org/officeDocument/2006/relationships/hyperlink" Target="mailto:hoketc11@gmail.com" TargetMode="External"/><Relationship Id="rId8" Type="http://schemas.openxmlformats.org/officeDocument/2006/relationships/hyperlink" Target="mailto:bryn.miller117@gmail.com" TargetMode="External"/><Relationship Id="rId51" Type="http://schemas.openxmlformats.org/officeDocument/2006/relationships/hyperlink" Target="mailto:rickards050@gmail.com" TargetMode="External"/><Relationship Id="rId72" Type="http://schemas.openxmlformats.org/officeDocument/2006/relationships/hyperlink" Target="mailto:leo.stanislas@gmail.com" TargetMode="External"/><Relationship Id="rId3" Type="http://schemas.openxmlformats.org/officeDocument/2006/relationships/hyperlink" Target="mailto:stevenpong@gmail.com" TargetMode="External"/><Relationship Id="rId12" Type="http://schemas.openxmlformats.org/officeDocument/2006/relationships/hyperlink" Target="mailto:kamcrae@yahoo.com" TargetMode="External"/><Relationship Id="rId17" Type="http://schemas.openxmlformats.org/officeDocument/2006/relationships/hyperlink" Target="mailto:nickhunnewell@gmail.com" TargetMode="External"/><Relationship Id="rId25" Type="http://schemas.openxmlformats.org/officeDocument/2006/relationships/hyperlink" Target="mailto:chan.sarahmarie@gmail.com" TargetMode="External"/><Relationship Id="rId33" Type="http://schemas.openxmlformats.org/officeDocument/2006/relationships/hyperlink" Target="mailto:liranzimand@gmail.com" TargetMode="External"/><Relationship Id="rId38" Type="http://schemas.openxmlformats.org/officeDocument/2006/relationships/hyperlink" Target="mailto:luke.w.bonham@gmail.com" TargetMode="External"/><Relationship Id="rId46" Type="http://schemas.openxmlformats.org/officeDocument/2006/relationships/hyperlink" Target="mailto:protourchef@hotmail.com" TargetMode="External"/><Relationship Id="rId59" Type="http://schemas.openxmlformats.org/officeDocument/2006/relationships/hyperlink" Target="mailto:alexgovaerts@hotmail.com" TargetMode="External"/><Relationship Id="rId67" Type="http://schemas.openxmlformats.org/officeDocument/2006/relationships/hyperlink" Target="mailto:nikkival17@gmail.com" TargetMode="External"/><Relationship Id="rId20" Type="http://schemas.openxmlformats.org/officeDocument/2006/relationships/hyperlink" Target="mailto:hoketc11@gmail.com" TargetMode="External"/><Relationship Id="rId41" Type="http://schemas.openxmlformats.org/officeDocument/2006/relationships/hyperlink" Target="mailto:jakeisthesnake@gmail.com" TargetMode="External"/><Relationship Id="rId54" Type="http://schemas.openxmlformats.org/officeDocument/2006/relationships/hyperlink" Target="mailto:scottwkidd@gmail.com" TargetMode="External"/><Relationship Id="rId62" Type="http://schemas.openxmlformats.org/officeDocument/2006/relationships/hyperlink" Target="mailto:mitchell.hannah@gmail.com" TargetMode="External"/><Relationship Id="rId70" Type="http://schemas.openxmlformats.org/officeDocument/2006/relationships/hyperlink" Target="mailto:joshuafoster1@gmail.com" TargetMode="External"/><Relationship Id="rId75" Type="http://schemas.openxmlformats.org/officeDocument/2006/relationships/hyperlink" Target="mailto:holly.ratcliff@gmail.com" TargetMode="External"/><Relationship Id="rId1" Type="http://schemas.openxmlformats.org/officeDocument/2006/relationships/hyperlink" Target="mailto:jguild10@gmail.com" TargetMode="External"/><Relationship Id="rId6" Type="http://schemas.openxmlformats.org/officeDocument/2006/relationships/hyperlink" Target="mailto:hut.coord@yahoo.com" TargetMode="External"/><Relationship Id="rId15" Type="http://schemas.openxmlformats.org/officeDocument/2006/relationships/hyperlink" Target="mailto:louisschueller@gmail.com" TargetMode="External"/><Relationship Id="rId23" Type="http://schemas.openxmlformats.org/officeDocument/2006/relationships/hyperlink" Target="mailto:tahoemountaintapas@gmail.com" TargetMode="External"/><Relationship Id="rId28" Type="http://schemas.openxmlformats.org/officeDocument/2006/relationships/hyperlink" Target="mailto:ben.spielman1223@gmail.com" TargetMode="External"/><Relationship Id="rId36" Type="http://schemas.openxmlformats.org/officeDocument/2006/relationships/hyperlink" Target="mailto:christie.a.ciarlo@gmail.com" TargetMode="External"/><Relationship Id="rId49" Type="http://schemas.openxmlformats.org/officeDocument/2006/relationships/hyperlink" Target="mailto:keith.lemay@gmail.com" TargetMode="External"/><Relationship Id="rId57" Type="http://schemas.openxmlformats.org/officeDocument/2006/relationships/hyperlink" Target="mailto:lauren.tackbary@sierraclub.org" TargetMode="External"/><Relationship Id="rId10" Type="http://schemas.openxmlformats.org/officeDocument/2006/relationships/hyperlink" Target="mailto:daneemk@gmail.com" TargetMode="External"/><Relationship Id="rId31" Type="http://schemas.openxmlformats.org/officeDocument/2006/relationships/hyperlink" Target="mailto:sjmac650@gmail.com" TargetMode="External"/><Relationship Id="rId44" Type="http://schemas.openxmlformats.org/officeDocument/2006/relationships/hyperlink" Target="mailto:jdeck8@gmail.com" TargetMode="External"/><Relationship Id="rId52" Type="http://schemas.openxmlformats.org/officeDocument/2006/relationships/hyperlink" Target="mailto:erincalfee@gmail.com" TargetMode="External"/><Relationship Id="rId60" Type="http://schemas.openxmlformats.org/officeDocument/2006/relationships/hyperlink" Target="mailto:danielnelli05@gmail.com" TargetMode="External"/><Relationship Id="rId65" Type="http://schemas.openxmlformats.org/officeDocument/2006/relationships/hyperlink" Target="mailto:ryanprouty@protonmail.com" TargetMode="External"/><Relationship Id="rId73" Type="http://schemas.openxmlformats.org/officeDocument/2006/relationships/hyperlink" Target="mailto:Ajorgensen4897@gmail.com" TargetMode="External"/><Relationship Id="rId4" Type="http://schemas.openxmlformats.org/officeDocument/2006/relationships/hyperlink" Target="mailto:notactuallymichelle@gmail.com" TargetMode="External"/><Relationship Id="rId9" Type="http://schemas.openxmlformats.org/officeDocument/2006/relationships/hyperlink" Target="mailto:st1993@gmail.com" TargetMode="External"/><Relationship Id="rId13" Type="http://schemas.openxmlformats.org/officeDocument/2006/relationships/hyperlink" Target="mailto:hill_hiker@hotmail.com" TargetMode="External"/><Relationship Id="rId18" Type="http://schemas.openxmlformats.org/officeDocument/2006/relationships/hyperlink" Target="mailto:craigmhaupt@gmail.com" TargetMode="External"/><Relationship Id="rId39" Type="http://schemas.openxmlformats.org/officeDocument/2006/relationships/hyperlink" Target="mailto:rlensch@yahoo.com" TargetMode="External"/><Relationship Id="rId34" Type="http://schemas.openxmlformats.org/officeDocument/2006/relationships/hyperlink" Target="mailto:ktmori@gmail.com" TargetMode="External"/><Relationship Id="rId50" Type="http://schemas.openxmlformats.org/officeDocument/2006/relationships/hyperlink" Target="mailto:Alexwnewcomb@gmail.com" TargetMode="External"/><Relationship Id="rId55" Type="http://schemas.openxmlformats.org/officeDocument/2006/relationships/hyperlink" Target="mailto:wister@gmail.com" TargetMode="External"/><Relationship Id="rId7" Type="http://schemas.openxmlformats.org/officeDocument/2006/relationships/hyperlink" Target="mailto:elk1234567@yahoo.com" TargetMode="External"/><Relationship Id="rId71" Type="http://schemas.openxmlformats.org/officeDocument/2006/relationships/hyperlink" Target="mailto:ajcrutch@g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4AEB2-CB83-41B4-87A8-1CEA5B62F607}">
  <dimension ref="A2:P89"/>
  <sheetViews>
    <sheetView zoomScale="110" zoomScaleNormal="110" workbookViewId="0">
      <selection activeCell="A5" sqref="A5"/>
    </sheetView>
  </sheetViews>
  <sheetFormatPr defaultRowHeight="11.5"/>
  <cols>
    <col min="1" max="1" width="12.796875" bestFit="1" customWidth="1"/>
    <col min="2" max="2" width="12.69921875" bestFit="1" customWidth="1"/>
    <col min="3" max="3" width="12.19921875" bestFit="1" customWidth="1"/>
    <col min="4" max="4" width="12.796875" customWidth="1"/>
    <col min="5" max="5" width="11.3984375" bestFit="1" customWidth="1"/>
    <col min="6" max="6" width="24" bestFit="1" customWidth="1"/>
    <col min="7" max="7" width="24" customWidth="1"/>
    <col min="8" max="8" width="22.59765625" bestFit="1" customWidth="1"/>
    <col min="9" max="16" width="14.59765625" customWidth="1"/>
    <col min="17" max="21" width="9.69921875" customWidth="1"/>
    <col min="22" max="22" width="20.69921875" bestFit="1" customWidth="1"/>
    <col min="23" max="23" width="21.5" bestFit="1" customWidth="1"/>
    <col min="24" max="24" width="18.19921875" bestFit="1" customWidth="1"/>
    <col min="25" max="25" width="20.8984375" bestFit="1" customWidth="1"/>
    <col min="26" max="26" width="19.296875" bestFit="1" customWidth="1"/>
    <col min="27" max="27" width="19.09765625" bestFit="1" customWidth="1"/>
    <col min="28" max="28" width="21" bestFit="1" customWidth="1"/>
    <col min="29" max="29" width="20.8984375" bestFit="1" customWidth="1"/>
    <col min="30" max="30" width="18.69921875" bestFit="1" customWidth="1"/>
    <col min="31" max="31" width="19" bestFit="1" customWidth="1"/>
    <col min="32" max="32" width="22.19921875" bestFit="1" customWidth="1"/>
    <col min="33" max="33" width="19.5" bestFit="1" customWidth="1"/>
    <col min="34" max="34" width="18.19921875" bestFit="1" customWidth="1"/>
    <col min="35" max="35" width="19.8984375" bestFit="1" customWidth="1"/>
    <col min="36" max="36" width="19.09765625" bestFit="1" customWidth="1"/>
    <col min="37" max="37" width="20.19921875" bestFit="1" customWidth="1"/>
    <col min="38" max="38" width="22.8984375" bestFit="1" customWidth="1"/>
    <col min="39" max="39" width="18.19921875" bestFit="1" customWidth="1"/>
    <col min="40" max="40" width="18.8984375" bestFit="1" customWidth="1"/>
    <col min="41" max="41" width="23.59765625" bestFit="1" customWidth="1"/>
    <col min="42" max="42" width="16" bestFit="1" customWidth="1"/>
    <col min="43" max="43" width="23.09765625" bestFit="1" customWidth="1"/>
    <col min="44" max="44" width="17.09765625" bestFit="1" customWidth="1"/>
    <col min="45" max="45" width="17.5" bestFit="1" customWidth="1"/>
    <col min="46" max="46" width="21.796875" bestFit="1" customWidth="1"/>
    <col min="47" max="47" width="18.3984375" bestFit="1" customWidth="1"/>
    <col min="48" max="48" width="17.69921875" bestFit="1" customWidth="1"/>
    <col min="49" max="49" width="19.3984375" bestFit="1" customWidth="1"/>
    <col min="50" max="50" width="19.8984375" bestFit="1" customWidth="1"/>
    <col min="51" max="51" width="15.59765625" bestFit="1" customWidth="1"/>
    <col min="52" max="52" width="20.5" bestFit="1" customWidth="1"/>
    <col min="53" max="53" width="26.296875" bestFit="1" customWidth="1"/>
    <col min="54" max="54" width="19.59765625" bestFit="1" customWidth="1"/>
    <col min="55" max="55" width="20.796875" bestFit="1" customWidth="1"/>
    <col min="56" max="56" width="17.5" bestFit="1" customWidth="1"/>
    <col min="57" max="57" width="19.8984375" bestFit="1" customWidth="1"/>
    <col min="58" max="58" width="21.8984375" bestFit="1" customWidth="1"/>
    <col min="59" max="59" width="23" bestFit="1" customWidth="1"/>
    <col min="60" max="60" width="27.796875" bestFit="1" customWidth="1"/>
    <col min="61" max="61" width="26.8984375" bestFit="1" customWidth="1"/>
    <col min="62" max="62" width="23.5" bestFit="1" customWidth="1"/>
    <col min="63" max="63" width="16.8984375" bestFit="1" customWidth="1"/>
    <col min="64" max="64" width="22.296875" bestFit="1" customWidth="1"/>
    <col min="65" max="65" width="18.796875" bestFit="1" customWidth="1"/>
    <col min="66" max="66" width="21.19921875" bestFit="1" customWidth="1"/>
    <col min="67" max="67" width="26.19921875" bestFit="1" customWidth="1"/>
    <col min="68" max="68" width="21.796875" bestFit="1" customWidth="1"/>
    <col min="69" max="69" width="21.59765625" bestFit="1" customWidth="1"/>
    <col min="70" max="70" width="20.19921875" bestFit="1" customWidth="1"/>
    <col min="71" max="71" width="17.3984375" bestFit="1" customWidth="1"/>
    <col min="72" max="72" width="19.19921875" bestFit="1" customWidth="1"/>
    <col min="73" max="73" width="23.59765625" bestFit="1" customWidth="1"/>
    <col min="74" max="74" width="23.19921875" bestFit="1" customWidth="1"/>
    <col min="75" max="75" width="19.296875" bestFit="1" customWidth="1"/>
    <col min="76" max="76" width="22" bestFit="1" customWidth="1"/>
    <col min="77" max="77" width="18.5" bestFit="1" customWidth="1"/>
    <col min="78" max="78" width="18.19921875" bestFit="1" customWidth="1"/>
    <col min="79" max="79" width="16.19921875" bestFit="1" customWidth="1"/>
    <col min="80" max="80" width="20.19921875" bestFit="1" customWidth="1"/>
    <col min="81" max="81" width="27.296875" bestFit="1" customWidth="1"/>
    <col min="82" max="82" width="21.69921875" bestFit="1" customWidth="1"/>
    <col min="83" max="83" width="19.59765625" bestFit="1" customWidth="1"/>
    <col min="84" max="84" width="16.19921875" bestFit="1" customWidth="1"/>
    <col min="85" max="85" width="22.19921875" bestFit="1" customWidth="1"/>
    <col min="86" max="86" width="21.69921875" bestFit="1" customWidth="1"/>
    <col min="87" max="87" width="20.5" bestFit="1" customWidth="1"/>
    <col min="88" max="88" width="26.296875" bestFit="1" customWidth="1"/>
    <col min="89" max="89" width="20" bestFit="1" customWidth="1"/>
    <col min="90" max="90" width="15.5" bestFit="1" customWidth="1"/>
    <col min="91" max="91" width="6.3984375" bestFit="1" customWidth="1"/>
    <col min="92" max="92" width="10.5" bestFit="1" customWidth="1"/>
  </cols>
  <sheetData>
    <row r="2" spans="1:16">
      <c r="A2" t="s">
        <v>566</v>
      </c>
      <c r="E2" t="s">
        <v>575</v>
      </c>
      <c r="F2" t="s">
        <v>580</v>
      </c>
      <c r="G2" t="s">
        <v>581</v>
      </c>
      <c r="H2" t="s">
        <v>0</v>
      </c>
      <c r="I2" t="s">
        <v>9</v>
      </c>
      <c r="J2" t="s">
        <v>582</v>
      </c>
      <c r="K2" t="s">
        <v>576</v>
      </c>
      <c r="L2" t="s">
        <v>577</v>
      </c>
      <c r="M2" t="s">
        <v>578</v>
      </c>
      <c r="N2" t="s">
        <v>564</v>
      </c>
      <c r="O2" t="s">
        <v>565</v>
      </c>
      <c r="P2" t="s">
        <v>579</v>
      </c>
    </row>
    <row r="3" spans="1:16">
      <c r="A3" s="69" t="s">
        <v>574</v>
      </c>
      <c r="B3" t="s">
        <v>584</v>
      </c>
      <c r="C3" t="s">
        <v>585</v>
      </c>
      <c r="D3" s="69"/>
    </row>
    <row r="4" spans="1:16">
      <c r="A4" s="70">
        <v>1962792</v>
      </c>
      <c r="B4" s="71">
        <v>2</v>
      </c>
      <c r="C4" s="71">
        <v>2</v>
      </c>
      <c r="D4" s="70"/>
      <c r="E4" t="str">
        <f>LOOKUP($A4,original!$AE:$AE,original!H:H)</f>
        <v>sam.hoffman99@gmail.com</v>
      </c>
      <c r="F4" t="str">
        <f>LOOKUP($A4,original!$AE:$AE,original!A:A)</f>
        <v>Sam</v>
      </c>
      <c r="G4" t="str">
        <f>LOOKUP($A4,original!$AE:$AE,original!B:B)</f>
        <v>Hoffman</v>
      </c>
      <c r="H4" t="str">
        <f>LOOKUP($A4,original!$AE:$AE,original!G:G)</f>
        <v>720-810-5776</v>
      </c>
      <c r="I4" t="str">
        <f>IF(LOOKUP($A4,original!$AE:$AE,original!D:D)=0,"",LOOKUP($A4,original!$AE:$AE,original!D:D))</f>
        <v>Oakland</v>
      </c>
      <c r="J4" t="str">
        <f>IF(LOOKUP($A4,original!$AE:$AE,original!E:E)=0,"",LOOKUP($A4,original!$AE:$AE,original!E:E))</f>
        <v>CA</v>
      </c>
      <c r="K4">
        <f>LOOKUP($A4,original!$AE:$AE,original!M:M)</f>
        <v>2</v>
      </c>
      <c r="M4" t="b">
        <v>0</v>
      </c>
    </row>
    <row r="5" spans="1:16">
      <c r="A5" s="70">
        <v>1969495</v>
      </c>
      <c r="B5" s="71">
        <v>2</v>
      </c>
      <c r="C5" s="71">
        <v>2</v>
      </c>
      <c r="D5" s="70"/>
      <c r="E5" t="str">
        <f>LOOKUP($A5,original!$AE:$AE,original!H:H)</f>
        <v>ben.spielman1223@gmail.com</v>
      </c>
      <c r="F5" t="str">
        <f>LOOKUP($A5,original!$AE:$AE,original!A:A)</f>
        <v>Benjamin</v>
      </c>
      <c r="G5" t="str">
        <f>LOOKUP($A5,original!$AE:$AE,original!B:B)</f>
        <v>Spielman</v>
      </c>
      <c r="H5" t="str">
        <f>LOOKUP($A5,original!$AE:$AE,original!G:G)</f>
        <v>301-830-0735</v>
      </c>
      <c r="I5" t="str">
        <f>IF(LOOKUP($A5,original!$AE:$AE,original!D:D)=0,"",LOOKUP($A5,original!$AE:$AE,original!D:D))</f>
        <v>San Francisco</v>
      </c>
      <c r="J5" t="str">
        <f>IF(LOOKUP($A5,original!$AE:$AE,original!E:E)=0,"",LOOKUP($A5,original!$AE:$AE,original!E:E))</f>
        <v>CA</v>
      </c>
      <c r="K5">
        <f>LOOKUP($A5,original!$AE:$AE,original!M:M)</f>
        <v>2</v>
      </c>
      <c r="M5" t="b">
        <v>0</v>
      </c>
    </row>
    <row r="6" spans="1:16">
      <c r="A6" s="70">
        <v>1975905</v>
      </c>
      <c r="B6" s="71">
        <v>2</v>
      </c>
      <c r="C6" s="71">
        <v>2</v>
      </c>
      <c r="D6" s="70"/>
      <c r="E6" t="str">
        <f>LOOKUP($A6,original!$AE:$AE,original!H:H)</f>
        <v>leo.stanislas@gmail.com</v>
      </c>
      <c r="F6" t="str">
        <f>LOOKUP($A6,original!$AE:$AE,original!A:A)</f>
        <v>Leo</v>
      </c>
      <c r="G6" t="str">
        <f>LOOKUP($A6,original!$AE:$AE,original!B:B)</f>
        <v>Stanislaus</v>
      </c>
      <c r="H6" t="str">
        <f>LOOKUP($A6,original!$AE:$AE,original!G:G)</f>
        <v>818-930-2028</v>
      </c>
      <c r="I6" t="str">
        <f>IF(LOOKUP($A6,original!$AE:$AE,original!D:D)=0,"",LOOKUP($A6,original!$AE:$AE,original!D:D))</f>
        <v>South Lake Tahoe</v>
      </c>
      <c r="J6" t="str">
        <f>IF(LOOKUP($A6,original!$AE:$AE,original!E:E)=0,"",LOOKUP($A6,original!$AE:$AE,original!E:E))</f>
        <v>CA</v>
      </c>
      <c r="K6">
        <f>LOOKUP($A6,original!$AE:$AE,original!M:M)</f>
        <v>2</v>
      </c>
      <c r="M6" t="b">
        <v>0</v>
      </c>
    </row>
    <row r="7" spans="1:16">
      <c r="A7" s="70">
        <v>2009181</v>
      </c>
      <c r="B7" s="71">
        <v>14</v>
      </c>
      <c r="C7" s="71">
        <v>14</v>
      </c>
      <c r="D7" s="70"/>
      <c r="E7" t="str">
        <f>LOOKUP($A7,original!$AE:$AE,original!H:H)</f>
        <v>hut.coord@yahoo.com</v>
      </c>
      <c r="F7" t="str">
        <f>LOOKUP($A7,original!$AE:$AE,original!A:A)</f>
        <v>Dick</v>
      </c>
      <c r="G7" t="str">
        <f>LOOKUP($A7,original!$AE:$AE,original!B:B)</f>
        <v>Simpson</v>
      </c>
      <c r="H7" t="str">
        <f>LOOKUP($A7,original!$AE:$AE,original!G:G)</f>
        <v>650-494-9272</v>
      </c>
      <c r="I7" t="str">
        <f>IF(LOOKUP($A7,original!$AE:$AE,original!D:D)=0,"",LOOKUP($A7,original!$AE:$AE,original!D:D))</f>
        <v>Palo Alto</v>
      </c>
      <c r="J7" t="str">
        <f>IF(LOOKUP($A7,original!$AE:$AE,original!E:E)=0,"",LOOKUP($A7,original!$AE:$AE,original!E:E))</f>
        <v>CA</v>
      </c>
      <c r="K7">
        <f>LOOKUP($A7,original!$AE:$AE,original!M:M)</f>
        <v>14</v>
      </c>
      <c r="M7" t="b">
        <v>1</v>
      </c>
    </row>
    <row r="8" spans="1:16">
      <c r="A8" s="70">
        <v>3147593</v>
      </c>
      <c r="B8" s="71">
        <v>2</v>
      </c>
      <c r="C8" s="71">
        <v>2</v>
      </c>
      <c r="D8" s="70"/>
      <c r="E8" t="str">
        <f>LOOKUP($A8,original!$AE:$AE,original!H:H)</f>
        <v>tk6174@gmail.com</v>
      </c>
      <c r="F8" t="str">
        <f>LOOKUP($A8,original!$AE:$AE,original!A:A)</f>
        <v>Teddy</v>
      </c>
      <c r="G8" t="str">
        <f>LOOKUP($A8,original!$AE:$AE,original!B:B)</f>
        <v>Koerner</v>
      </c>
      <c r="H8" t="str">
        <f>LOOKUP($A8,original!$AE:$AE,original!G:G)</f>
        <v>303-956-0501</v>
      </c>
      <c r="I8" t="str">
        <f>IF(LOOKUP($A8,original!$AE:$AE,original!D:D)=0,"",LOOKUP($A8,original!$AE:$AE,original!D:D))</f>
        <v>San Francisco</v>
      </c>
      <c r="J8" t="str">
        <f>IF(LOOKUP($A8,original!$AE:$AE,original!E:E)=0,"",LOOKUP($A8,original!$AE:$AE,original!E:E))</f>
        <v>CA</v>
      </c>
      <c r="K8">
        <f>LOOKUP($A8,original!$AE:$AE,original!M:M)</f>
        <v>2</v>
      </c>
      <c r="M8" t="b">
        <v>0</v>
      </c>
    </row>
    <row r="9" spans="1:16">
      <c r="A9" s="70">
        <v>3486858</v>
      </c>
      <c r="B9" s="71">
        <v>4</v>
      </c>
      <c r="C9" s="71">
        <v>4</v>
      </c>
      <c r="D9" s="70"/>
      <c r="E9" t="str">
        <f>LOOKUP($A9,original!$AE:$AE,original!H:H)</f>
        <v>elk1234567@yahoo.com</v>
      </c>
      <c r="F9" t="str">
        <f>LOOKUP($A9,original!$AE:$AE,original!A:A)</f>
        <v>Ethan</v>
      </c>
      <c r="G9" t="str">
        <f>LOOKUP($A9,original!$AE:$AE,original!B:B)</f>
        <v>Kennon</v>
      </c>
      <c r="H9" t="str">
        <f>LOOKUP($A9,original!$AE:$AE,original!G:G)</f>
        <v>707-315-9872</v>
      </c>
      <c r="I9" t="str">
        <f>IF(LOOKUP($A9,original!$AE:$AE,original!D:D)=0,"",LOOKUP($A9,original!$AE:$AE,original!D:D))</f>
        <v>San Francisco</v>
      </c>
      <c r="J9" t="str">
        <f>IF(LOOKUP($A9,original!$AE:$AE,original!E:E)=0,"",LOOKUP($A9,original!$AE:$AE,original!E:E))</f>
        <v>CA</v>
      </c>
      <c r="K9">
        <f>LOOKUP($A9,original!$AE:$AE,original!M:M)</f>
        <v>4</v>
      </c>
      <c r="M9" t="b">
        <v>0</v>
      </c>
    </row>
    <row r="10" spans="1:16">
      <c r="A10" s="70">
        <v>7212312</v>
      </c>
      <c r="B10" s="71">
        <v>2</v>
      </c>
      <c r="C10" s="71">
        <v>2</v>
      </c>
      <c r="D10" s="70"/>
      <c r="E10" t="str">
        <f>LOOKUP($A10,original!$AE:$AE,original!H:H)</f>
        <v>st1993@gmail.com</v>
      </c>
      <c r="F10" t="str">
        <f>LOOKUP($A10,original!$AE:$AE,original!A:A)</f>
        <v>Scott</v>
      </c>
      <c r="G10" t="str">
        <f>LOOKUP($A10,original!$AE:$AE,original!B:B)</f>
        <v>Bennett</v>
      </c>
      <c r="H10" t="str">
        <f>LOOKUP($A10,original!$AE:$AE,original!G:G)</f>
        <v>650-283-9916</v>
      </c>
      <c r="I10" t="str">
        <f>IF(LOOKUP($A10,original!$AE:$AE,original!D:D)=0,"",LOOKUP($A10,original!$AE:$AE,original!D:D))</f>
        <v>San Francisco</v>
      </c>
      <c r="J10" t="str">
        <f>IF(LOOKUP($A10,original!$AE:$AE,original!E:E)=0,"",LOOKUP($A10,original!$AE:$AE,original!E:E))</f>
        <v>CA</v>
      </c>
      <c r="K10">
        <f>LOOKUP($A10,original!$AE:$AE,original!M:M)</f>
        <v>2</v>
      </c>
      <c r="M10" t="b">
        <v>0</v>
      </c>
    </row>
    <row r="11" spans="1:16">
      <c r="A11" s="70">
        <v>27044381</v>
      </c>
      <c r="B11" s="71">
        <v>2</v>
      </c>
      <c r="C11" s="71">
        <v>2</v>
      </c>
      <c r="D11" s="70"/>
      <c r="E11" t="str">
        <f>LOOKUP($A11,original!$AE:$AE,original!H:H)</f>
        <v>hal_tompkins@yahoo.com</v>
      </c>
      <c r="F11" t="str">
        <f>LOOKUP($A11,original!$AE:$AE,original!A:A)</f>
        <v>Hal</v>
      </c>
      <c r="G11" t="str">
        <f>LOOKUP($A11,original!$AE:$AE,original!B:B)</f>
        <v>Tompkins</v>
      </c>
      <c r="H11" t="str">
        <f>LOOKUP($A11,original!$AE:$AE,original!G:G)</f>
        <v>650-400-8351</v>
      </c>
      <c r="I11" t="str">
        <f>IF(LOOKUP($A11,original!$AE:$AE,original!D:D)=0,"",LOOKUP($A11,original!$AE:$AE,original!D:D))</f>
        <v>Redwood City</v>
      </c>
      <c r="J11" t="str">
        <f>IF(LOOKUP($A11,original!$AE:$AE,original!E:E)=0,"",LOOKUP($A11,original!$AE:$AE,original!E:E))</f>
        <v>CA</v>
      </c>
      <c r="K11">
        <f>LOOKUP($A11,original!$AE:$AE,original!M:M)</f>
        <v>2</v>
      </c>
      <c r="M11" t="b">
        <v>0</v>
      </c>
    </row>
    <row r="12" spans="1:16">
      <c r="A12" s="70">
        <v>28075512</v>
      </c>
      <c r="B12" s="71">
        <v>2</v>
      </c>
      <c r="C12" s="71">
        <v>2</v>
      </c>
      <c r="D12" s="70"/>
      <c r="E12" t="str">
        <f>LOOKUP($A12,original!$AE:$AE,original!H:H)</f>
        <v>sjmac650@gmail.com</v>
      </c>
      <c r="F12" t="str">
        <f>LOOKUP($A12,original!$AE:$AE,original!A:A)</f>
        <v>Sarah</v>
      </c>
      <c r="G12" t="str">
        <f>LOOKUP($A12,original!$AE:$AE,original!B:B)</f>
        <v>MacPherson</v>
      </c>
      <c r="H12" t="str">
        <f>LOOKUP($A12,original!$AE:$AE,original!G:G)</f>
        <v>650-334-1015</v>
      </c>
      <c r="I12" t="str">
        <f>IF(LOOKUP($A12,original!$AE:$AE,original!D:D)=0,"",LOOKUP($A12,original!$AE:$AE,original!D:D))</f>
        <v>San Francisco</v>
      </c>
      <c r="J12" t="str">
        <f>IF(LOOKUP($A12,original!$AE:$AE,original!E:E)=0,"",LOOKUP($A12,original!$AE:$AE,original!E:E))</f>
        <v>CA</v>
      </c>
      <c r="K12">
        <f>LOOKUP($A12,original!$AE:$AE,original!M:M)</f>
        <v>2</v>
      </c>
      <c r="M12" t="b">
        <v>0</v>
      </c>
    </row>
    <row r="13" spans="1:16">
      <c r="A13" s="70">
        <v>28075894</v>
      </c>
      <c r="B13" s="71">
        <v>2</v>
      </c>
      <c r="C13" s="71">
        <v>2</v>
      </c>
      <c r="D13" s="70"/>
      <c r="E13" t="str">
        <f>LOOKUP($A13,original!$AE:$AE,original!H:H)</f>
        <v>aomalley17@gmail.com</v>
      </c>
      <c r="F13" t="str">
        <f>LOOKUP($A13,original!$AE:$AE,original!A:A)</f>
        <v>Anna</v>
      </c>
      <c r="G13" t="str">
        <f>LOOKUP($A13,original!$AE:$AE,original!B:B)</f>
        <v>O'Malley</v>
      </c>
      <c r="H13" t="str">
        <f>LOOKUP($A13,original!$AE:$AE,original!G:G)</f>
        <v>802-540-5101</v>
      </c>
      <c r="I13" t="str">
        <f>IF(LOOKUP($A13,original!$AE:$AE,original!D:D)=0,"",LOOKUP($A13,original!$AE:$AE,original!D:D))</f>
        <v>San Francisco</v>
      </c>
      <c r="J13" t="str">
        <f>IF(LOOKUP($A13,original!$AE:$AE,original!E:E)=0,"",LOOKUP($A13,original!$AE:$AE,original!E:E))</f>
        <v>CA</v>
      </c>
      <c r="K13">
        <f>LOOKUP($A13,original!$AE:$AE,original!M:M)</f>
        <v>2</v>
      </c>
      <c r="M13" t="b">
        <v>0</v>
      </c>
    </row>
    <row r="14" spans="1:16">
      <c r="A14" s="70">
        <v>28090137</v>
      </c>
      <c r="B14" s="71">
        <v>2</v>
      </c>
      <c r="C14" s="71">
        <v>2</v>
      </c>
      <c r="D14" s="70"/>
      <c r="E14" t="str">
        <f>LOOKUP($A14,original!$AE:$AE,original!H:H)</f>
        <v>d1passmore@yahoo.com</v>
      </c>
      <c r="F14" t="str">
        <f>LOOKUP($A14,original!$AE:$AE,original!A:A)</f>
        <v>David</v>
      </c>
      <c r="G14" t="str">
        <f>LOOKUP($A14,original!$AE:$AE,original!B:B)</f>
        <v>Passmore</v>
      </c>
      <c r="H14" t="str">
        <f>LOOKUP($A14,original!$AE:$AE,original!G:G)</f>
        <v>650-215-0374</v>
      </c>
      <c r="I14" t="str">
        <f>IF(LOOKUP($A14,original!$AE:$AE,original!D:D)=0,"",LOOKUP($A14,original!$AE:$AE,original!D:D))</f>
        <v>San Francisco</v>
      </c>
      <c r="J14" t="str">
        <f>IF(LOOKUP($A14,original!$AE:$AE,original!E:E)=0,"",LOOKUP($A14,original!$AE:$AE,original!E:E))</f>
        <v>CA</v>
      </c>
      <c r="K14">
        <f>LOOKUP($A14,original!$AE:$AE,original!M:M)</f>
        <v>2</v>
      </c>
      <c r="M14" t="b">
        <v>0</v>
      </c>
    </row>
    <row r="15" spans="1:16">
      <c r="A15" s="70">
        <v>28106784</v>
      </c>
      <c r="B15" s="71">
        <v>2</v>
      </c>
      <c r="C15" s="71">
        <v>2</v>
      </c>
      <c r="D15" s="70"/>
      <c r="E15" t="str">
        <f>LOOKUP($A15,original!$AE:$AE,original!H:H)</f>
        <v>karadu422@gmail.com</v>
      </c>
      <c r="F15" t="str">
        <f>LOOKUP($A15,original!$AE:$AE,original!A:A)</f>
        <v>Kate</v>
      </c>
      <c r="G15" t="str">
        <f>LOOKUP($A15,original!$AE:$AE,original!B:B)</f>
        <v>Radu</v>
      </c>
      <c r="H15" t="str">
        <f>LOOKUP($A15,original!$AE:$AE,original!G:G)</f>
        <v>214-402-3918</v>
      </c>
      <c r="I15" t="str">
        <f>IF(LOOKUP($A15,original!$AE:$AE,original!D:D)=0,"",LOOKUP($A15,original!$AE:$AE,original!D:D))</f>
        <v>Redwood City</v>
      </c>
      <c r="J15" t="str">
        <f>IF(LOOKUP($A15,original!$AE:$AE,original!E:E)=0,"",LOOKUP($A15,original!$AE:$AE,original!E:E))</f>
        <v>CA</v>
      </c>
      <c r="K15">
        <f>LOOKUP($A15,original!$AE:$AE,original!M:M)</f>
        <v>2</v>
      </c>
      <c r="M15" t="b">
        <v>0</v>
      </c>
    </row>
    <row r="16" spans="1:16">
      <c r="A16" s="70">
        <v>28107425</v>
      </c>
      <c r="B16" s="71">
        <v>1</v>
      </c>
      <c r="C16" s="71">
        <v>1</v>
      </c>
      <c r="D16" s="70"/>
      <c r="E16" t="str">
        <f>LOOKUP($A16,original!$AE:$AE,original!H:H)</f>
        <v>liranzimand@gmail.com</v>
      </c>
      <c r="F16" t="str">
        <f>LOOKUP($A16,original!$AE:$AE,original!A:A)</f>
        <v>Rani</v>
      </c>
      <c r="G16" t="str">
        <f>LOOKUP($A16,original!$AE:$AE,original!B:B)</f>
        <v>Zimand</v>
      </c>
      <c r="H16" t="str">
        <f>LOOKUP($A16,original!$AE:$AE,original!G:G)</f>
        <v>301-502-1345</v>
      </c>
      <c r="I16" t="str">
        <f>IF(LOOKUP($A16,original!$AE:$AE,original!D:D)=0,"",LOOKUP($A16,original!$AE:$AE,original!D:D))</f>
        <v>Truckee</v>
      </c>
      <c r="J16" t="str">
        <f>IF(LOOKUP($A16,original!$AE:$AE,original!E:E)=0,"",LOOKUP($A16,original!$AE:$AE,original!E:E))</f>
        <v>CA</v>
      </c>
      <c r="K16">
        <f>LOOKUP($A16,original!$AE:$AE,original!M:M)</f>
        <v>1</v>
      </c>
      <c r="M16" t="b">
        <v>0</v>
      </c>
    </row>
    <row r="17" spans="1:13">
      <c r="A17" s="70">
        <v>28107495</v>
      </c>
      <c r="B17" s="71">
        <v>2</v>
      </c>
      <c r="C17" s="71">
        <v>2</v>
      </c>
      <c r="D17" s="70"/>
      <c r="E17" t="str">
        <f>LOOKUP($A17,original!$AE:$AE,original!H:H)</f>
        <v>bjraudabaugh@gmail.com</v>
      </c>
      <c r="F17" t="str">
        <f>LOOKUP($A17,original!$AE:$AE,original!A:A)</f>
        <v>Benjamin</v>
      </c>
      <c r="G17" t="str">
        <f>LOOKUP($A17,original!$AE:$AE,original!B:B)</f>
        <v>Raudabaugh</v>
      </c>
      <c r="H17" t="str">
        <f>LOOKUP($A17,original!$AE:$AE,original!G:G)</f>
        <v>415-713-1422</v>
      </c>
      <c r="I17" t="str">
        <f>IF(LOOKUP($A17,original!$AE:$AE,original!D:D)=0,"",LOOKUP($A17,original!$AE:$AE,original!D:D))</f>
        <v>San Francisco</v>
      </c>
      <c r="J17" t="str">
        <f>IF(LOOKUP($A17,original!$AE:$AE,original!E:E)=0,"",LOOKUP($A17,original!$AE:$AE,original!E:E))</f>
        <v>CA</v>
      </c>
      <c r="K17">
        <f>LOOKUP($A17,original!$AE:$AE,original!M:M)</f>
        <v>2</v>
      </c>
      <c r="M17" t="b">
        <v>0</v>
      </c>
    </row>
    <row r="18" spans="1:13">
      <c r="A18" s="70">
        <v>28120707</v>
      </c>
      <c r="B18" s="71">
        <v>2</v>
      </c>
      <c r="C18" s="71">
        <v>2</v>
      </c>
      <c r="D18" s="70"/>
      <c r="E18" t="str">
        <f>LOOKUP($A18,original!$AE:$AE,original!H:H)</f>
        <v>notactuallymichelle@gmail.com</v>
      </c>
      <c r="F18" t="str">
        <f>LOOKUP($A18,original!$AE:$AE,original!A:A)</f>
        <v>Michelle</v>
      </c>
      <c r="G18" t="str">
        <f>LOOKUP($A18,original!$AE:$AE,original!B:B)</f>
        <v>Trame</v>
      </c>
      <c r="H18" t="str">
        <f>LOOKUP($A18,original!$AE:$AE,original!G:G)</f>
        <v>310-920-6071</v>
      </c>
      <c r="I18" t="str">
        <f>IF(LOOKUP($A18,original!$AE:$AE,original!D:D)=0,"",LOOKUP($A18,original!$AE:$AE,original!D:D))</f>
        <v>Oakland</v>
      </c>
      <c r="J18" t="str">
        <f>IF(LOOKUP($A18,original!$AE:$AE,original!E:E)=0,"",LOOKUP($A18,original!$AE:$AE,original!E:E))</f>
        <v>CA</v>
      </c>
      <c r="K18">
        <f>LOOKUP($A18,original!$AE:$AE,original!M:M)</f>
        <v>2</v>
      </c>
      <c r="M18" t="b">
        <v>0</v>
      </c>
    </row>
    <row r="19" spans="1:13">
      <c r="A19" s="70">
        <v>28664534</v>
      </c>
      <c r="B19" s="71">
        <v>1</v>
      </c>
      <c r="C19" s="71">
        <v>1</v>
      </c>
      <c r="D19" s="70"/>
      <c r="E19" t="str">
        <f>LOOKUP($A19,original!$AE:$AE,original!H:H)</f>
        <v>amyburdick20@gmail.com</v>
      </c>
      <c r="F19" t="str">
        <f>LOOKUP($A19,original!$AE:$AE,original!A:A)</f>
        <v>Amy</v>
      </c>
      <c r="G19" t="str">
        <f>LOOKUP($A19,original!$AE:$AE,original!B:B)</f>
        <v>Burdick</v>
      </c>
      <c r="H19" t="str">
        <f>LOOKUP($A19,original!$AE:$AE,original!G:G)</f>
        <v>578-859-4519</v>
      </c>
      <c r="I19" t="str">
        <f>IF(LOOKUP($A19,original!$AE:$AE,original!D:D)=0,"",LOOKUP($A19,original!$AE:$AE,original!D:D))</f>
        <v>Truckee</v>
      </c>
      <c r="J19" t="str">
        <f>IF(LOOKUP($A19,original!$AE:$AE,original!E:E)=0,"",LOOKUP($A19,original!$AE:$AE,original!E:E))</f>
        <v>CA</v>
      </c>
      <c r="K19">
        <f>LOOKUP($A19,original!$AE:$AE,original!M:M)</f>
        <v>1</v>
      </c>
      <c r="M19" t="b">
        <v>0</v>
      </c>
    </row>
    <row r="20" spans="1:13">
      <c r="A20" s="70">
        <v>29023353</v>
      </c>
      <c r="B20" s="71">
        <v>2</v>
      </c>
      <c r="C20" s="71">
        <v>2</v>
      </c>
      <c r="D20" s="70"/>
      <c r="E20" t="str">
        <f>LOOKUP($A20,original!$AE:$AE,original!H:H)</f>
        <v>tracy@compnetworks.com</v>
      </c>
      <c r="F20" t="str">
        <f>LOOKUP($A20,original!$AE:$AE,original!A:A)</f>
        <v>Tracy</v>
      </c>
      <c r="G20" t="str">
        <f>LOOKUP($A20,original!$AE:$AE,original!B:B)</f>
        <v>Cuneo</v>
      </c>
      <c r="H20" t="str">
        <f>LOOKUP($A20,original!$AE:$AE,original!G:G)</f>
        <v>530-414-6197</v>
      </c>
      <c r="I20" t="str">
        <f>IF(LOOKUP($A20,original!$AE:$AE,original!D:D)=0,"",LOOKUP($A20,original!$AE:$AE,original!D:D))</f>
        <v>Truckee</v>
      </c>
      <c r="J20" t="str">
        <f>IF(LOOKUP($A20,original!$AE:$AE,original!E:E)=0,"",LOOKUP($A20,original!$AE:$AE,original!E:E))</f>
        <v>CA</v>
      </c>
      <c r="K20">
        <f>LOOKUP($A20,original!$AE:$AE,original!M:M)</f>
        <v>2</v>
      </c>
      <c r="M20" t="b">
        <v>0</v>
      </c>
    </row>
    <row r="21" spans="1:13">
      <c r="A21" s="70">
        <v>29047823</v>
      </c>
      <c r="B21" s="71">
        <v>2</v>
      </c>
      <c r="C21" s="71">
        <v>2</v>
      </c>
      <c r="D21" s="70"/>
      <c r="E21" t="str">
        <f>LOOKUP($A21,original!$AE:$AE,original!H:H)</f>
        <v>jdeck8@gmail.com</v>
      </c>
      <c r="F21" t="str">
        <f>LOOKUP($A21,original!$AE:$AE,original!A:A)</f>
        <v>Jared</v>
      </c>
      <c r="G21" t="str">
        <f>LOOKUP($A21,original!$AE:$AE,original!B:B)</f>
        <v>Deck</v>
      </c>
      <c r="H21" t="str">
        <f>LOOKUP($A21,original!$AE:$AE,original!G:G)</f>
        <v>508-207-5771</v>
      </c>
      <c r="I21" t="str">
        <f>IF(LOOKUP($A21,original!$AE:$AE,original!D:D)=0,"",LOOKUP($A21,original!$AE:$AE,original!D:D))</f>
        <v>Newcastle</v>
      </c>
      <c r="J21" t="str">
        <f>IF(LOOKUP($A21,original!$AE:$AE,original!E:E)=0,"",LOOKUP($A21,original!$AE:$AE,original!E:E))</f>
        <v>CA</v>
      </c>
      <c r="K21">
        <f>LOOKUP($A21,original!$AE:$AE,original!M:M)</f>
        <v>2</v>
      </c>
      <c r="M21" t="b">
        <v>0</v>
      </c>
    </row>
    <row r="22" spans="1:13">
      <c r="A22" s="70">
        <v>29098784</v>
      </c>
      <c r="B22" s="71">
        <v>3</v>
      </c>
      <c r="C22" s="71">
        <v>3</v>
      </c>
      <c r="D22" s="70"/>
      <c r="E22" t="str">
        <f>LOOKUP($A22,original!$AE:$AE,original!H:H)</f>
        <v>kamcrae@yahoo.com</v>
      </c>
      <c r="F22" t="str">
        <f>LOOKUP($A22,original!$AE:$AE,original!A:A)</f>
        <v>Katie</v>
      </c>
      <c r="G22" t="str">
        <f>LOOKUP($A22,original!$AE:$AE,original!B:B)</f>
        <v>McRae</v>
      </c>
      <c r="H22" t="str">
        <f>LOOKUP($A22,original!$AE:$AE,original!G:G)</f>
        <v>775-220-9792</v>
      </c>
      <c r="I22" t="str">
        <f>IF(LOOKUP($A22,original!$AE:$AE,original!D:D)=0,"",LOOKUP($A22,original!$AE:$AE,original!D:D))</f>
        <v>Carson City</v>
      </c>
      <c r="J22" t="str">
        <f>IF(LOOKUP($A22,original!$AE:$AE,original!E:E)=0,"",LOOKUP($A22,original!$AE:$AE,original!E:E))</f>
        <v>NV</v>
      </c>
      <c r="K22">
        <f>LOOKUP($A22,original!$AE:$AE,original!M:M)</f>
        <v>3</v>
      </c>
      <c r="M22" t="b">
        <v>0</v>
      </c>
    </row>
    <row r="23" spans="1:13">
      <c r="A23" s="70">
        <v>29099095</v>
      </c>
      <c r="B23" s="71">
        <v>2</v>
      </c>
      <c r="C23" s="71">
        <v>2</v>
      </c>
      <c r="D23" s="70"/>
      <c r="E23" t="str">
        <f>LOOKUP($A23,original!$AE:$AE,original!H:H)</f>
        <v>bemcrae@yahoo.com</v>
      </c>
      <c r="F23" t="str">
        <f>LOOKUP($A23,original!$AE:$AE,original!A:A)</f>
        <v>Brian</v>
      </c>
      <c r="G23" t="str">
        <f>LOOKUP($A23,original!$AE:$AE,original!B:B)</f>
        <v>McRae</v>
      </c>
      <c r="H23" t="str">
        <f>LOOKUP($A23,original!$AE:$AE,original!G:G)</f>
        <v>775-230-4338</v>
      </c>
      <c r="I23" t="str">
        <f>IF(LOOKUP($A23,original!$AE:$AE,original!D:D)=0,"",LOOKUP($A23,original!$AE:$AE,original!D:D))</f>
        <v/>
      </c>
      <c r="J23" t="str">
        <f>IF(LOOKUP($A23,original!$AE:$AE,original!E:E)=0,"",LOOKUP($A23,original!$AE:$AE,original!E:E))</f>
        <v/>
      </c>
      <c r="K23">
        <f>LOOKUP($A23,original!$AE:$AE,original!M:M)</f>
        <v>2</v>
      </c>
      <c r="M23" t="b">
        <v>0</v>
      </c>
    </row>
    <row r="24" spans="1:13">
      <c r="A24" s="70">
        <v>29144226</v>
      </c>
      <c r="B24" s="71">
        <v>1</v>
      </c>
      <c r="C24" s="71">
        <v>1</v>
      </c>
      <c r="D24" s="70"/>
      <c r="E24" t="str">
        <f>LOOKUP($A24,original!$AE:$AE,original!H:H)</f>
        <v>mitchell.hannah@gmail.com</v>
      </c>
      <c r="F24" t="str">
        <f>LOOKUP($A24,original!$AE:$AE,original!A:A)</f>
        <v>Hannah</v>
      </c>
      <c r="G24" t="str">
        <f>LOOKUP($A24,original!$AE:$AE,original!B:B)</f>
        <v>Mitchell</v>
      </c>
      <c r="H24" t="str">
        <f>LOOKUP($A24,original!$AE:$AE,original!G:G)</f>
        <v>510-282-2108</v>
      </c>
      <c r="I24" t="str">
        <f>IF(LOOKUP($A24,original!$AE:$AE,original!D:D)=0,"",LOOKUP($A24,original!$AE:$AE,original!D:D))</f>
        <v>Oakland</v>
      </c>
      <c r="J24" t="str">
        <f>IF(LOOKUP($A24,original!$AE:$AE,original!E:E)=0,"",LOOKUP($A24,original!$AE:$AE,original!E:E))</f>
        <v>CA</v>
      </c>
      <c r="K24">
        <f>LOOKUP($A24,original!$AE:$AE,original!M:M)</f>
        <v>1</v>
      </c>
      <c r="M24" t="b">
        <v>0</v>
      </c>
    </row>
    <row r="25" spans="1:13">
      <c r="A25" s="70">
        <v>29176534</v>
      </c>
      <c r="B25" s="71">
        <v>2</v>
      </c>
      <c r="C25" s="71">
        <v>2</v>
      </c>
      <c r="D25" s="70"/>
      <c r="E25" t="str">
        <f>LOOKUP($A25,original!$AE:$AE,original!H:H)</f>
        <v>amychen2012@gmail.com</v>
      </c>
      <c r="F25" t="str">
        <f>LOOKUP($A25,original!$AE:$AE,original!A:A)</f>
        <v>Amy</v>
      </c>
      <c r="G25" t="str">
        <f>LOOKUP($A25,original!$AE:$AE,original!B:B)</f>
        <v>Chen</v>
      </c>
      <c r="H25" t="str">
        <f>LOOKUP($A25,original!$AE:$AE,original!G:G)</f>
        <v>248-321-0848</v>
      </c>
      <c r="I25" t="str">
        <f>IF(LOOKUP($A25,original!$AE:$AE,original!D:D)=0,"",LOOKUP($A25,original!$AE:$AE,original!D:D))</f>
        <v>San Francisco</v>
      </c>
      <c r="J25" t="str">
        <f>IF(LOOKUP($A25,original!$AE:$AE,original!E:E)=0,"",LOOKUP($A25,original!$AE:$AE,original!E:E))</f>
        <v>CA</v>
      </c>
      <c r="K25">
        <f>LOOKUP($A25,original!$AE:$AE,original!M:M)</f>
        <v>2</v>
      </c>
      <c r="M25" t="b">
        <v>0</v>
      </c>
    </row>
    <row r="26" spans="1:13">
      <c r="A26" s="70">
        <v>29618303</v>
      </c>
      <c r="B26" s="71">
        <v>2</v>
      </c>
      <c r="C26" s="71">
        <v>2</v>
      </c>
      <c r="D26" s="70"/>
      <c r="E26" t="str">
        <f>LOOKUP($A26,original!$AE:$AE,original!H:H)</f>
        <v>jondlittle@gmail.com</v>
      </c>
      <c r="F26" t="str">
        <f>LOOKUP($A26,original!$AE:$AE,original!A:A)</f>
        <v>Jon</v>
      </c>
      <c r="G26" t="str">
        <f>LOOKUP($A26,original!$AE:$AE,original!B:B)</f>
        <v>Little</v>
      </c>
      <c r="H26" t="str">
        <f>LOOKUP($A26,original!$AE:$AE,original!G:G)</f>
        <v>802-318-8831</v>
      </c>
      <c r="I26" t="str">
        <f>IF(LOOKUP($A26,original!$AE:$AE,original!D:D)=0,"",LOOKUP($A26,original!$AE:$AE,original!D:D))</f>
        <v>San Francisco</v>
      </c>
      <c r="J26" t="str">
        <f>IF(LOOKUP($A26,original!$AE:$AE,original!E:E)=0,"",LOOKUP($A26,original!$AE:$AE,original!E:E))</f>
        <v>CA</v>
      </c>
      <c r="K26">
        <f>LOOKUP($A26,original!$AE:$AE,original!M:M)</f>
        <v>2</v>
      </c>
      <c r="M26" t="b">
        <v>0</v>
      </c>
    </row>
    <row r="27" spans="1:13">
      <c r="A27" s="70">
        <v>30097345</v>
      </c>
      <c r="B27" s="71">
        <v>2</v>
      </c>
      <c r="C27" s="71">
        <v>2</v>
      </c>
      <c r="D27" s="70"/>
      <c r="E27" t="str">
        <f>LOOKUP($A27,original!$AE:$AE,original!H:H)</f>
        <v>lciemniecki@gmail.com</v>
      </c>
      <c r="F27" t="str">
        <f>LOOKUP($A27,original!$AE:$AE,original!A:A)</f>
        <v>Leonard</v>
      </c>
      <c r="G27" t="str">
        <f>LOOKUP($A27,original!$AE:$AE,original!B:B)</f>
        <v>Ciemniecki</v>
      </c>
      <c r="H27" t="str">
        <f>LOOKUP($A27,original!$AE:$AE,original!G:G)</f>
        <v>248-925-9102</v>
      </c>
      <c r="I27" t="str">
        <f>IF(LOOKUP($A27,original!$AE:$AE,original!D:D)=0,"",LOOKUP($A27,original!$AE:$AE,original!D:D))</f>
        <v>San Francisco</v>
      </c>
      <c r="J27" t="str">
        <f>IF(LOOKUP($A27,original!$AE:$AE,original!E:E)=0,"",LOOKUP($A27,original!$AE:$AE,original!E:E))</f>
        <v>CA</v>
      </c>
      <c r="K27">
        <f>LOOKUP($A27,original!$AE:$AE,original!M:M)</f>
        <v>2</v>
      </c>
      <c r="M27" t="b">
        <v>0</v>
      </c>
    </row>
    <row r="28" spans="1:13">
      <c r="A28" s="70">
        <v>30109983</v>
      </c>
      <c r="B28" s="71">
        <v>2</v>
      </c>
      <c r="C28" s="71">
        <v>2</v>
      </c>
      <c r="D28" s="70"/>
      <c r="E28" t="str">
        <f>LOOKUP($A28,original!$AE:$AE,original!H:H)</f>
        <v>jakeisthesnake@gmail.com</v>
      </c>
      <c r="F28" t="str">
        <f>LOOKUP($A28,original!$AE:$AE,original!A:A)</f>
        <v>Jake</v>
      </c>
      <c r="G28" t="str">
        <f>LOOKUP($A28,original!$AE:$AE,original!B:B)</f>
        <v>Parkhurst</v>
      </c>
      <c r="H28" t="str">
        <f>LOOKUP($A28,original!$AE:$AE,original!G:G)</f>
        <v>510-293-1751</v>
      </c>
      <c r="I28" t="str">
        <f>IF(LOOKUP($A28,original!$AE:$AE,original!D:D)=0,"",LOOKUP($A28,original!$AE:$AE,original!D:D))</f>
        <v>Pinole</v>
      </c>
      <c r="J28" t="str">
        <f>IF(LOOKUP($A28,original!$AE:$AE,original!E:E)=0,"",LOOKUP($A28,original!$AE:$AE,original!E:E))</f>
        <v>CA</v>
      </c>
      <c r="K28">
        <f>LOOKUP($A28,original!$AE:$AE,original!M:M)</f>
        <v>2</v>
      </c>
      <c r="M28" t="b">
        <v>0</v>
      </c>
    </row>
    <row r="29" spans="1:13">
      <c r="A29" s="70">
        <v>30111101</v>
      </c>
      <c r="B29" s="71">
        <v>2</v>
      </c>
      <c r="C29" s="71">
        <v>2</v>
      </c>
      <c r="D29" s="70"/>
      <c r="E29" t="str">
        <f>LOOKUP($A29,original!$AE:$AE,original!H:H)</f>
        <v>hoketc11@gmail.com</v>
      </c>
      <c r="F29" t="str">
        <f>LOOKUP($A29,original!$AE:$AE,original!A:A)</f>
        <v>Tom</v>
      </c>
      <c r="G29" t="str">
        <f>LOOKUP($A29,original!$AE:$AE,original!B:B)</f>
        <v>Hoke</v>
      </c>
      <c r="H29" t="str">
        <f>LOOKUP($A29,original!$AE:$AE,original!G:G)</f>
        <v>804-441-5844</v>
      </c>
      <c r="I29" t="str">
        <f>IF(LOOKUP($A29,original!$AE:$AE,original!D:D)=0,"",LOOKUP($A29,original!$AE:$AE,original!D:D))</f>
        <v/>
      </c>
      <c r="J29" t="str">
        <f>IF(LOOKUP($A29,original!$AE:$AE,original!E:E)=0,"",LOOKUP($A29,original!$AE:$AE,original!E:E))</f>
        <v/>
      </c>
      <c r="K29">
        <f>LOOKUP($A29,original!$AE:$AE,original!M:M)</f>
        <v>2</v>
      </c>
      <c r="M29" t="b">
        <v>0</v>
      </c>
    </row>
    <row r="30" spans="1:13">
      <c r="A30" s="70">
        <v>30111585</v>
      </c>
      <c r="B30" s="71">
        <v>2</v>
      </c>
      <c r="C30" s="71">
        <v>2</v>
      </c>
      <c r="D30" s="70"/>
      <c r="E30" t="str">
        <f>LOOKUP($A30,original!$AE:$AE,original!H:H)</f>
        <v>luke.w.bonham@gmail.com</v>
      </c>
      <c r="F30" t="str">
        <f>LOOKUP($A30,original!$AE:$AE,original!A:A)</f>
        <v>Luke</v>
      </c>
      <c r="G30" t="str">
        <f>LOOKUP($A30,original!$AE:$AE,original!B:B)</f>
        <v>Bonham</v>
      </c>
      <c r="H30" t="str">
        <f>LOOKUP($A30,original!$AE:$AE,original!G:G)</f>
        <v>714-277-9643</v>
      </c>
      <c r="I30" t="str">
        <f>IF(LOOKUP($A30,original!$AE:$AE,original!D:D)=0,"",LOOKUP($A30,original!$AE:$AE,original!D:D))</f>
        <v>San Francisco</v>
      </c>
      <c r="J30" t="str">
        <f>IF(LOOKUP($A30,original!$AE:$AE,original!E:E)=0,"",LOOKUP($A30,original!$AE:$AE,original!E:E))</f>
        <v>CA</v>
      </c>
      <c r="K30">
        <f>LOOKUP($A30,original!$AE:$AE,original!M:M)</f>
        <v>2</v>
      </c>
      <c r="M30" t="b">
        <v>0</v>
      </c>
    </row>
    <row r="31" spans="1:13">
      <c r="A31" s="70">
        <v>30118313</v>
      </c>
      <c r="B31" s="71">
        <v>2</v>
      </c>
      <c r="C31" s="71">
        <v>2</v>
      </c>
      <c r="D31" s="70"/>
      <c r="E31" t="str">
        <f>LOOKUP($A31,original!$AE:$AE,original!H:H)</f>
        <v>tyler11alves@gmail.com</v>
      </c>
      <c r="F31" t="str">
        <f>LOOKUP($A31,original!$AE:$AE,original!A:A)</f>
        <v>Tyler</v>
      </c>
      <c r="G31" t="str">
        <f>LOOKUP($A31,original!$AE:$AE,original!B:B)</f>
        <v>Alves</v>
      </c>
      <c r="H31" t="str">
        <f>LOOKUP($A31,original!$AE:$AE,original!G:G)</f>
        <v>510-612-1486</v>
      </c>
      <c r="I31" t="str">
        <f>IF(LOOKUP($A31,original!$AE:$AE,original!D:D)=0,"",LOOKUP($A31,original!$AE:$AE,original!D:D))</f>
        <v/>
      </c>
      <c r="J31" t="str">
        <f>IF(LOOKUP($A31,original!$AE:$AE,original!E:E)=0,"",LOOKUP($A31,original!$AE:$AE,original!E:E))</f>
        <v/>
      </c>
      <c r="K31">
        <f>LOOKUP($A31,original!$AE:$AE,original!M:M)</f>
        <v>2</v>
      </c>
      <c r="M31" t="b">
        <v>0</v>
      </c>
    </row>
    <row r="32" spans="1:13">
      <c r="A32" s="70">
        <v>30129177</v>
      </c>
      <c r="B32" s="71">
        <v>2</v>
      </c>
      <c r="C32" s="71">
        <v>2</v>
      </c>
      <c r="D32" s="70"/>
      <c r="E32" t="str">
        <f>LOOKUP($A32,original!$AE:$AE,original!H:H)</f>
        <v>daneemk@gmail.com</v>
      </c>
      <c r="F32" t="str">
        <f>LOOKUP($A32,original!$AE:$AE,original!A:A)</f>
        <v>Danee</v>
      </c>
      <c r="G32" t="str">
        <f>LOOKUP($A32,original!$AE:$AE,original!B:B)</f>
        <v>Kenyon</v>
      </c>
      <c r="H32" t="str">
        <f>LOOKUP($A32,original!$AE:$AE,original!G:G)</f>
        <v>760-859-7653</v>
      </c>
      <c r="I32" t="str">
        <f>IF(LOOKUP($A32,original!$AE:$AE,original!D:D)=0,"",LOOKUP($A32,original!$AE:$AE,original!D:D))</f>
        <v>Mountain View</v>
      </c>
      <c r="J32" t="str">
        <f>IF(LOOKUP($A32,original!$AE:$AE,original!E:E)=0,"",LOOKUP($A32,original!$AE:$AE,original!E:E))</f>
        <v>CA</v>
      </c>
      <c r="K32">
        <f>LOOKUP($A32,original!$AE:$AE,original!M:M)</f>
        <v>2</v>
      </c>
      <c r="M32" t="b">
        <v>0</v>
      </c>
    </row>
    <row r="33" spans="1:13">
      <c r="A33" s="70">
        <v>31583107</v>
      </c>
      <c r="B33" s="71">
        <v>4</v>
      </c>
      <c r="C33" s="71">
        <v>4</v>
      </c>
      <c r="D33" s="70"/>
      <c r="E33" t="str">
        <f>LOOKUP($A33,original!$AE:$AE,original!H:H)</f>
        <v>noahbudnick@gmail.com</v>
      </c>
      <c r="F33" t="str">
        <f>LOOKUP($A33,original!$AE:$AE,original!A:A)</f>
        <v>Noah</v>
      </c>
      <c r="G33" t="str">
        <f>LOOKUP($A33,original!$AE:$AE,original!B:B)</f>
        <v>Budnick</v>
      </c>
      <c r="H33" t="str">
        <f>LOOKUP($A33,original!$AE:$AE,original!G:G)</f>
        <v>917-684-7912</v>
      </c>
      <c r="I33" t="str">
        <f>IF(LOOKUP($A33,original!$AE:$AE,original!D:D)=0,"",LOOKUP($A33,original!$AE:$AE,original!D:D))</f>
        <v>Berkeley</v>
      </c>
      <c r="J33" t="str">
        <f>IF(LOOKUP($A33,original!$AE:$AE,original!E:E)=0,"",LOOKUP($A33,original!$AE:$AE,original!E:E))</f>
        <v>CA</v>
      </c>
      <c r="K33">
        <f>LOOKUP($A33,original!$AE:$AE,original!M:M)</f>
        <v>4</v>
      </c>
      <c r="M33" t="b">
        <v>0</v>
      </c>
    </row>
    <row r="34" spans="1:13">
      <c r="A34" s="70">
        <v>31698303</v>
      </c>
      <c r="B34" s="71">
        <v>2</v>
      </c>
      <c r="C34" s="71">
        <v>2</v>
      </c>
      <c r="D34" s="70"/>
      <c r="E34" t="str">
        <f>LOOKUP($A34,original!$AE:$AE,original!H:H)</f>
        <v>joshuafoster1@gmail.com</v>
      </c>
      <c r="F34" t="str">
        <f>LOOKUP($A34,original!$AE:$AE,original!A:A)</f>
        <v>Joshua</v>
      </c>
      <c r="G34" t="str">
        <f>LOOKUP($A34,original!$AE:$AE,original!B:B)</f>
        <v>Foster</v>
      </c>
      <c r="H34" t="str">
        <f>LOOKUP($A34,original!$AE:$AE,original!G:G)</f>
        <v>530-848-8071</v>
      </c>
      <c r="I34" t="str">
        <f>IF(LOOKUP($A34,original!$AE:$AE,original!D:D)=0,"",LOOKUP($A34,original!$AE:$AE,original!D:D))</f>
        <v/>
      </c>
      <c r="J34" t="str">
        <f>IF(LOOKUP($A34,original!$AE:$AE,original!E:E)=0,"",LOOKUP($A34,original!$AE:$AE,original!E:E))</f>
        <v/>
      </c>
      <c r="K34">
        <f>LOOKUP($A34,original!$AE:$AE,original!M:M)</f>
        <v>2</v>
      </c>
      <c r="M34" t="b">
        <v>0</v>
      </c>
    </row>
    <row r="35" spans="1:13">
      <c r="A35" s="70">
        <v>32095336</v>
      </c>
      <c r="B35" s="71">
        <v>2</v>
      </c>
      <c r="C35" s="71">
        <v>2</v>
      </c>
      <c r="D35" s="70"/>
      <c r="E35" t="str">
        <f>LOOKUP($A35,original!$AE:$AE,original!H:H)</f>
        <v>craigmhaupt@gmail.com</v>
      </c>
      <c r="F35" t="str">
        <f>LOOKUP($A35,original!$AE:$AE,original!A:A)</f>
        <v>Craig</v>
      </c>
      <c r="G35" t="str">
        <f>LOOKUP($A35,original!$AE:$AE,original!B:B)</f>
        <v>Haupt</v>
      </c>
      <c r="H35" t="str">
        <f>LOOKUP($A35,original!$AE:$AE,original!G:G)</f>
        <v>408-329-3081</v>
      </c>
      <c r="I35" t="str">
        <f>IF(LOOKUP($A35,original!$AE:$AE,original!D:D)=0,"",LOOKUP($A35,original!$AE:$AE,original!D:D))</f>
        <v>Sunnyvale</v>
      </c>
      <c r="J35" t="str">
        <f>IF(LOOKUP($A35,original!$AE:$AE,original!E:E)=0,"",LOOKUP($A35,original!$AE:$AE,original!E:E))</f>
        <v>CA</v>
      </c>
      <c r="K35">
        <f>LOOKUP($A35,original!$AE:$AE,original!M:M)</f>
        <v>2</v>
      </c>
      <c r="M35" t="b">
        <v>0</v>
      </c>
    </row>
    <row r="36" spans="1:13">
      <c r="A36" s="70">
        <v>32177177</v>
      </c>
      <c r="B36" s="71">
        <v>2</v>
      </c>
      <c r="C36" s="71">
        <v>2</v>
      </c>
      <c r="D36" s="70"/>
      <c r="E36" t="str">
        <f>LOOKUP($A36,original!$AE:$AE,original!H:H)</f>
        <v>danielnelli05@gmail.com</v>
      </c>
      <c r="F36" t="str">
        <f>LOOKUP($A36,original!$AE:$AE,original!A:A)</f>
        <v>Daniel</v>
      </c>
      <c r="G36" t="str">
        <f>LOOKUP($A36,original!$AE:$AE,original!B:B)</f>
        <v>Nelli</v>
      </c>
      <c r="H36" t="str">
        <f>LOOKUP($A36,original!$AE:$AE,original!G:G)</f>
        <v>704-868-3288</v>
      </c>
      <c r="I36" t="str">
        <f>IF(LOOKUP($A36,original!$AE:$AE,original!D:D)=0,"",LOOKUP($A36,original!$AE:$AE,original!D:D))</f>
        <v/>
      </c>
      <c r="J36" t="str">
        <f>IF(LOOKUP($A36,original!$AE:$AE,original!E:E)=0,"",LOOKUP($A36,original!$AE:$AE,original!E:E))</f>
        <v/>
      </c>
      <c r="K36">
        <f>LOOKUP($A36,original!$AE:$AE,original!M:M)</f>
        <v>2</v>
      </c>
      <c r="M36" t="b">
        <v>0</v>
      </c>
    </row>
    <row r="37" spans="1:13">
      <c r="A37" s="70">
        <v>32203336</v>
      </c>
      <c r="B37" s="71">
        <v>2</v>
      </c>
      <c r="C37" s="71">
        <v>2</v>
      </c>
      <c r="D37" s="70"/>
      <c r="E37" t="str">
        <f>LOOKUP($A37,original!$AE:$AE,original!H:H)</f>
        <v>chrishansenmd@comcast.net</v>
      </c>
      <c r="F37" t="str">
        <f>LOOKUP($A37,original!$AE:$AE,original!A:A)</f>
        <v>Chris</v>
      </c>
      <c r="G37" t="str">
        <f>LOOKUP($A37,original!$AE:$AE,original!B:B)</f>
        <v>Hansen</v>
      </c>
      <c r="H37" t="str">
        <f>LOOKUP($A37,original!$AE:$AE,original!G:G)</f>
        <v>831-238-0321</v>
      </c>
      <c r="I37" t="str">
        <f>IF(LOOKUP($A37,original!$AE:$AE,original!D:D)=0,"",LOOKUP($A37,original!$AE:$AE,original!D:D))</f>
        <v/>
      </c>
      <c r="J37" t="str">
        <f>IF(LOOKUP($A37,original!$AE:$AE,original!E:E)=0,"",LOOKUP($A37,original!$AE:$AE,original!E:E))</f>
        <v/>
      </c>
      <c r="K37">
        <f>LOOKUP($A37,original!$AE:$AE,original!M:M)</f>
        <v>2</v>
      </c>
      <c r="M37" t="b">
        <v>0</v>
      </c>
    </row>
    <row r="38" spans="1:13">
      <c r="A38" s="70">
        <v>32222463</v>
      </c>
      <c r="B38" s="71">
        <v>1</v>
      </c>
      <c r="C38" s="71">
        <v>1</v>
      </c>
      <c r="D38" s="70"/>
      <c r="E38" t="str">
        <f>LOOKUP($A38,original!$AE:$AE,original!H:H)</f>
        <v>jguild10@gmail.com</v>
      </c>
      <c r="F38" t="str">
        <f>LOOKUP($A38,original!$AE:$AE,original!A:A)</f>
        <v>Jeff</v>
      </c>
      <c r="G38" t="str">
        <f>LOOKUP($A38,original!$AE:$AE,original!B:B)</f>
        <v>Guild</v>
      </c>
      <c r="H38" t="str">
        <f>LOOKUP($A38,original!$AE:$AE,original!G:G)</f>
        <v>510-708-7701</v>
      </c>
      <c r="I38" t="str">
        <f>IF(LOOKUP($A38,original!$AE:$AE,original!D:D)=0,"",LOOKUP($A38,original!$AE:$AE,original!D:D))</f>
        <v/>
      </c>
      <c r="J38" t="str">
        <f>IF(LOOKUP($A38,original!$AE:$AE,original!E:E)=0,"",LOOKUP($A38,original!$AE:$AE,original!E:E))</f>
        <v/>
      </c>
      <c r="K38">
        <f>LOOKUP($A38,original!$AE:$AE,original!M:M)</f>
        <v>1</v>
      </c>
      <c r="M38" t="b">
        <v>0</v>
      </c>
    </row>
    <row r="39" spans="1:13">
      <c r="A39" s="70">
        <v>32223105</v>
      </c>
      <c r="B39" s="71">
        <v>2</v>
      </c>
      <c r="C39" s="71">
        <v>2</v>
      </c>
      <c r="D39" s="70"/>
      <c r="E39" t="str">
        <f>LOOKUP($A39,original!$AE:$AE,original!H:H)</f>
        <v>louisschueller@gmail.com</v>
      </c>
      <c r="F39" t="str">
        <f>LOOKUP($A39,original!$AE:$AE,original!A:A)</f>
        <v>Louis</v>
      </c>
      <c r="G39" t="str">
        <f>LOOKUP($A39,original!$AE:$AE,original!B:B)</f>
        <v>Schueller</v>
      </c>
      <c r="H39" t="str">
        <f>LOOKUP($A39,original!$AE:$AE,original!G:G)</f>
        <v>650-743-5226</v>
      </c>
      <c r="I39" t="str">
        <f>IF(LOOKUP($A39,original!$AE:$AE,original!D:D)=0,"",LOOKUP($A39,original!$AE:$AE,original!D:D))</f>
        <v>Redwood City</v>
      </c>
      <c r="J39" t="str">
        <f>IF(LOOKUP($A39,original!$AE:$AE,original!E:E)=0,"",LOOKUP($A39,original!$AE:$AE,original!E:E))</f>
        <v>CA</v>
      </c>
      <c r="K39">
        <f>LOOKUP($A39,original!$AE:$AE,original!M:M)</f>
        <v>2</v>
      </c>
      <c r="M39" t="b">
        <v>0</v>
      </c>
    </row>
    <row r="40" spans="1:13">
      <c r="A40" s="70">
        <v>32241505</v>
      </c>
      <c r="B40" s="71">
        <v>2</v>
      </c>
      <c r="C40" s="71">
        <v>2</v>
      </c>
      <c r="D40" s="70"/>
      <c r="E40" t="str">
        <f>LOOKUP($A40,original!$AE:$AE,original!H:H)</f>
        <v>lexiarlen@gmail.com</v>
      </c>
      <c r="F40" t="str">
        <f>LOOKUP($A40,original!$AE:$AE,original!A:A)</f>
        <v>Lexi</v>
      </c>
      <c r="G40" t="str">
        <f>LOOKUP($A40,original!$AE:$AE,original!B:B)</f>
        <v>Arlen</v>
      </c>
      <c r="H40" t="str">
        <f>LOOKUP($A40,original!$AE:$AE,original!G:G)</f>
        <v>925-309-7104</v>
      </c>
      <c r="I40" t="str">
        <f>IF(LOOKUP($A40,original!$AE:$AE,original!D:D)=0,"",LOOKUP($A40,original!$AE:$AE,original!D:D))</f>
        <v>Menlo Park</v>
      </c>
      <c r="J40" t="str">
        <f>IF(LOOKUP($A40,original!$AE:$AE,original!E:E)=0,"",LOOKUP($A40,original!$AE:$AE,original!E:E))</f>
        <v>CA</v>
      </c>
      <c r="K40">
        <f>LOOKUP($A40,original!$AE:$AE,original!M:M)</f>
        <v>2</v>
      </c>
      <c r="M40" t="b">
        <v>0</v>
      </c>
    </row>
    <row r="41" spans="1:13">
      <c r="A41" s="70">
        <v>33131427</v>
      </c>
      <c r="B41" s="71">
        <v>2</v>
      </c>
      <c r="C41" s="71">
        <v>2</v>
      </c>
      <c r="D41" s="70"/>
      <c r="E41" t="str">
        <f>LOOKUP($A41,original!$AE:$AE,original!H:H)</f>
        <v>nickhunnewell@gmail.com</v>
      </c>
      <c r="F41" t="str">
        <f>LOOKUP($A41,original!$AE:$AE,original!A:A)</f>
        <v>Nick</v>
      </c>
      <c r="G41" t="str">
        <f>LOOKUP($A41,original!$AE:$AE,original!B:B)</f>
        <v>Hunnewell</v>
      </c>
      <c r="H41" t="str">
        <f>LOOKUP($A41,original!$AE:$AE,original!G:G)</f>
        <v>508-314-8721</v>
      </c>
      <c r="I41" t="str">
        <f>IF(LOOKUP($A41,original!$AE:$AE,original!D:D)=0,"",LOOKUP($A41,original!$AE:$AE,original!D:D))</f>
        <v>San Francisco</v>
      </c>
      <c r="J41" t="str">
        <f>IF(LOOKUP($A41,original!$AE:$AE,original!E:E)=0,"",LOOKUP($A41,original!$AE:$AE,original!E:E))</f>
        <v>CA</v>
      </c>
      <c r="K41">
        <f>LOOKUP($A41,original!$AE:$AE,original!M:M)</f>
        <v>2</v>
      </c>
      <c r="M41" t="b">
        <v>0</v>
      </c>
    </row>
    <row r="42" spans="1:13">
      <c r="A42" s="70">
        <v>33131431</v>
      </c>
      <c r="B42" s="71">
        <v>2</v>
      </c>
      <c r="C42" s="71">
        <v>2</v>
      </c>
      <c r="D42" s="70"/>
      <c r="E42" t="str">
        <f>LOOKUP($A42,original!$AE:$AE,original!H:H)</f>
        <v>rickards050@gmail.com</v>
      </c>
      <c r="F42" t="str">
        <f>LOOKUP($A42,original!$AE:$AE,original!A:A)</f>
        <v>Matt</v>
      </c>
      <c r="G42" t="str">
        <f>LOOKUP($A42,original!$AE:$AE,original!B:B)</f>
        <v>Rickards</v>
      </c>
      <c r="H42" t="str">
        <f>LOOKUP($A42,original!$AE:$AE,original!G:G)</f>
        <v>781-910-3917</v>
      </c>
      <c r="I42" t="str">
        <f>IF(LOOKUP($A42,original!$AE:$AE,original!D:D)=0,"",LOOKUP($A42,original!$AE:$AE,original!D:D))</f>
        <v>Sausalito</v>
      </c>
      <c r="J42" t="str">
        <f>IF(LOOKUP($A42,original!$AE:$AE,original!E:E)=0,"",LOOKUP($A42,original!$AE:$AE,original!E:E))</f>
        <v>CA</v>
      </c>
      <c r="K42">
        <f>LOOKUP($A42,original!$AE:$AE,original!M:M)</f>
        <v>2</v>
      </c>
      <c r="M42" t="b">
        <v>0</v>
      </c>
    </row>
    <row r="43" spans="1:13">
      <c r="A43" s="70">
        <v>33182627</v>
      </c>
      <c r="B43" s="71">
        <v>2</v>
      </c>
      <c r="C43" s="71">
        <v>2</v>
      </c>
      <c r="D43" s="70"/>
      <c r="E43" t="str">
        <f>LOOKUP($A43,original!$AE:$AE,original!H:H)</f>
        <v>nikkival17@gmail.com</v>
      </c>
      <c r="F43" t="str">
        <f>LOOKUP($A43,original!$AE:$AE,original!A:A)</f>
        <v>Nikki</v>
      </c>
      <c r="G43" t="str">
        <f>LOOKUP($A43,original!$AE:$AE,original!B:B)</f>
        <v>Valentine</v>
      </c>
      <c r="H43" t="str">
        <f>LOOKUP($A43,original!$AE:$AE,original!G:G)</f>
        <v>619-971-3254</v>
      </c>
      <c r="I43" t="str">
        <f>IF(LOOKUP($A43,original!$AE:$AE,original!D:D)=0,"",LOOKUP($A43,original!$AE:$AE,original!D:D))</f>
        <v>Grass Valley</v>
      </c>
      <c r="J43" t="str">
        <f>IF(LOOKUP($A43,original!$AE:$AE,original!E:E)=0,"",LOOKUP($A43,original!$AE:$AE,original!E:E))</f>
        <v>CA</v>
      </c>
      <c r="K43">
        <f>LOOKUP($A43,original!$AE:$AE,original!M:M)</f>
        <v>2</v>
      </c>
      <c r="M43" t="b">
        <v>0</v>
      </c>
    </row>
    <row r="44" spans="1:13">
      <c r="A44" s="70">
        <v>33701021</v>
      </c>
      <c r="B44" s="71">
        <v>2</v>
      </c>
      <c r="C44" s="71">
        <v>2</v>
      </c>
      <c r="D44" s="70"/>
      <c r="E44" t="str">
        <f>LOOKUP($A44,original!$AE:$AE,original!H:H)</f>
        <v>hill_hiker@hotmail.com</v>
      </c>
      <c r="F44" t="str">
        <f>LOOKUP($A44,original!$AE:$AE,original!A:A)</f>
        <v>Chris</v>
      </c>
      <c r="G44" t="str">
        <f>LOOKUP($A44,original!$AE:$AE,original!B:B)</f>
        <v>Oakes</v>
      </c>
      <c r="H44" t="str">
        <f>LOOKUP($A44,original!$AE:$AE,original!G:G)</f>
        <v>510-331-6654</v>
      </c>
      <c r="I44" t="str">
        <f>IF(LOOKUP($A44,original!$AE:$AE,original!D:D)=0,"",LOOKUP($A44,original!$AE:$AE,original!D:D))</f>
        <v>Berkeley</v>
      </c>
      <c r="J44" t="str">
        <f>IF(LOOKUP($A44,original!$AE:$AE,original!E:E)=0,"",LOOKUP($A44,original!$AE:$AE,original!E:E))</f>
        <v>CA</v>
      </c>
      <c r="K44">
        <f>LOOKUP($A44,original!$AE:$AE,original!M:M)</f>
        <v>2</v>
      </c>
      <c r="M44" t="b">
        <v>0</v>
      </c>
    </row>
    <row r="45" spans="1:13">
      <c r="A45" s="70">
        <v>33701036</v>
      </c>
      <c r="B45" s="71">
        <v>2</v>
      </c>
      <c r="C45" s="71">
        <v>2</v>
      </c>
      <c r="D45" s="70"/>
      <c r="E45" t="str">
        <f>LOOKUP($A45,original!$AE:$AE,original!H:H)</f>
        <v>will94574@comcast.net</v>
      </c>
      <c r="F45" t="str">
        <f>LOOKUP($A45,original!$AE:$AE,original!A:A)</f>
        <v>Will</v>
      </c>
      <c r="G45" t="str">
        <f>LOOKUP($A45,original!$AE:$AE,original!B:B)</f>
        <v>Smithers</v>
      </c>
      <c r="H45" t="str">
        <f>LOOKUP($A45,original!$AE:$AE,original!G:G)</f>
        <v>707-363-0444</v>
      </c>
      <c r="I45" t="str">
        <f>IF(LOOKUP($A45,original!$AE:$AE,original!D:D)=0,"",LOOKUP($A45,original!$AE:$AE,original!D:D))</f>
        <v>San Francisco</v>
      </c>
      <c r="J45" t="str">
        <f>IF(LOOKUP($A45,original!$AE:$AE,original!E:E)=0,"",LOOKUP($A45,original!$AE:$AE,original!E:E))</f>
        <v>CA</v>
      </c>
      <c r="K45">
        <f>LOOKUP($A45,original!$AE:$AE,original!M:M)</f>
        <v>2</v>
      </c>
      <c r="M45" t="b">
        <v>0</v>
      </c>
    </row>
    <row r="46" spans="1:13">
      <c r="A46" s="70">
        <v>33701501</v>
      </c>
      <c r="B46" s="71">
        <v>2</v>
      </c>
      <c r="C46" s="71">
        <v>2</v>
      </c>
      <c r="D46" s="70"/>
      <c r="E46" t="str">
        <f>LOOKUP($A46,original!$AE:$AE,original!H:H)</f>
        <v>holly.ratcliff@gmail.com</v>
      </c>
      <c r="F46" t="str">
        <f>LOOKUP($A46,original!$AE:$AE,original!A:A)</f>
        <v>Holly</v>
      </c>
      <c r="G46" t="str">
        <f>LOOKUP($A46,original!$AE:$AE,original!B:B)</f>
        <v>Lemay</v>
      </c>
      <c r="H46" t="str">
        <f>LOOKUP($A46,original!$AE:$AE,original!G:G)</f>
        <v>225-505-0593</v>
      </c>
      <c r="I46" t="str">
        <f>IF(LOOKUP($A46,original!$AE:$AE,original!D:D)=0,"",LOOKUP($A46,original!$AE:$AE,original!D:D))</f>
        <v/>
      </c>
      <c r="J46" t="str">
        <f>IF(LOOKUP($A46,original!$AE:$AE,original!E:E)=0,"",LOOKUP($A46,original!$AE:$AE,original!E:E))</f>
        <v/>
      </c>
      <c r="K46">
        <f>LOOKUP($A46,original!$AE:$AE,original!M:M)</f>
        <v>2</v>
      </c>
      <c r="M46" t="b">
        <v>0</v>
      </c>
    </row>
    <row r="47" spans="1:13">
      <c r="A47" s="70">
        <v>33721337</v>
      </c>
      <c r="B47" s="71">
        <v>2</v>
      </c>
      <c r="C47" s="71">
        <v>2</v>
      </c>
      <c r="D47" s="70"/>
      <c r="E47" t="str">
        <f>LOOKUP($A47,original!$AE:$AE,original!H:H)</f>
        <v>dwolfowitz@gmail.com</v>
      </c>
      <c r="F47" t="str">
        <f>LOOKUP($A47,original!$AE:$AE,original!A:A)</f>
        <v>David</v>
      </c>
      <c r="G47" t="str">
        <f>LOOKUP($A47,original!$AE:$AE,original!B:B)</f>
        <v>Wolfowitz</v>
      </c>
      <c r="H47" t="str">
        <f>LOOKUP($A47,original!$AE:$AE,original!G:G)</f>
        <v>301-642-6473</v>
      </c>
      <c r="I47" t="str">
        <f>IF(LOOKUP($A47,original!$AE:$AE,original!D:D)=0,"",LOOKUP($A47,original!$AE:$AE,original!D:D))</f>
        <v/>
      </c>
      <c r="J47" t="str">
        <f>IF(LOOKUP($A47,original!$AE:$AE,original!E:E)=0,"",LOOKUP($A47,original!$AE:$AE,original!E:E))</f>
        <v/>
      </c>
      <c r="K47">
        <f>LOOKUP($A47,original!$AE:$AE,original!M:M)</f>
        <v>2</v>
      </c>
      <c r="M47" t="b">
        <v>0</v>
      </c>
    </row>
    <row r="48" spans="1:13">
      <c r="A48" s="70">
        <v>34226706</v>
      </c>
      <c r="B48" s="71">
        <v>2</v>
      </c>
      <c r="C48" s="71">
        <v>2</v>
      </c>
      <c r="D48" s="70"/>
      <c r="E48" t="str">
        <f>LOOKUP($A48,original!$AE:$AE,original!H:H)</f>
        <v>mtnmck@gmail.com</v>
      </c>
      <c r="F48" t="str">
        <f>LOOKUP($A48,original!$AE:$AE,original!A:A)</f>
        <v>Stephen</v>
      </c>
      <c r="G48" t="str">
        <f>LOOKUP($A48,original!$AE:$AE,original!B:B)</f>
        <v>McKinley</v>
      </c>
      <c r="H48" t="str">
        <f>LOOKUP($A48,original!$AE:$AE,original!G:G)</f>
        <v>781-336-8940</v>
      </c>
      <c r="I48" t="str">
        <f>IF(LOOKUP($A48,original!$AE:$AE,original!D:D)=0,"",LOOKUP($A48,original!$AE:$AE,original!D:D))</f>
        <v>Berkeley</v>
      </c>
      <c r="J48" t="str">
        <f>IF(LOOKUP($A48,original!$AE:$AE,original!E:E)=0,"",LOOKUP($A48,original!$AE:$AE,original!E:E))</f>
        <v>CA</v>
      </c>
      <c r="K48">
        <f>LOOKUP($A48,original!$AE:$AE,original!M:M)</f>
        <v>2</v>
      </c>
      <c r="M48" t="b">
        <v>0</v>
      </c>
    </row>
    <row r="49" spans="1:13">
      <c r="A49" s="70">
        <v>34654536</v>
      </c>
      <c r="B49" s="71">
        <v>2</v>
      </c>
      <c r="C49" s="71">
        <v>2</v>
      </c>
      <c r="D49" s="70"/>
      <c r="E49" t="str">
        <f>LOOKUP($A49,original!$AE:$AE,original!H:H)</f>
        <v>chan.sarahmarie@gmail.com</v>
      </c>
      <c r="F49" t="str">
        <f>LOOKUP($A49,original!$AE:$AE,original!A:A)</f>
        <v>Sarah-Marie</v>
      </c>
      <c r="G49" t="str">
        <f>LOOKUP($A49,original!$AE:$AE,original!B:B)</f>
        <v>Chan</v>
      </c>
      <c r="H49" t="str">
        <f>LOOKUP($A49,original!$AE:$AE,original!G:G)</f>
        <v>907-230-4470</v>
      </c>
      <c r="I49" t="str">
        <f>IF(LOOKUP($A49,original!$AE:$AE,original!D:D)=0,"",LOOKUP($A49,original!$AE:$AE,original!D:D))</f>
        <v>San Francisco</v>
      </c>
      <c r="J49" t="str">
        <f>IF(LOOKUP($A49,original!$AE:$AE,original!E:E)=0,"",LOOKUP($A49,original!$AE:$AE,original!E:E))</f>
        <v>CA</v>
      </c>
      <c r="K49">
        <f>LOOKUP($A49,original!$AE:$AE,original!M:M)</f>
        <v>2</v>
      </c>
      <c r="M49" t="b">
        <v>0</v>
      </c>
    </row>
    <row r="50" spans="1:13">
      <c r="A50" s="70">
        <v>34655911</v>
      </c>
      <c r="B50" s="71">
        <v>2</v>
      </c>
      <c r="C50" s="71">
        <v>2</v>
      </c>
      <c r="D50" s="70"/>
      <c r="E50" t="str">
        <f>LOOKUP($A50,original!$AE:$AE,original!H:H)</f>
        <v>ryanprouty@protonmail.com</v>
      </c>
      <c r="F50" t="str">
        <f>LOOKUP($A50,original!$AE:$AE,original!A:A)</f>
        <v>Ryan</v>
      </c>
      <c r="G50" t="str">
        <f>LOOKUP($A50,original!$AE:$AE,original!B:B)</f>
        <v>Prouty</v>
      </c>
      <c r="H50" t="str">
        <f>LOOKUP($A50,original!$AE:$AE,original!G:G)</f>
        <v>916-221-8055</v>
      </c>
      <c r="I50" t="str">
        <f>IF(LOOKUP($A50,original!$AE:$AE,original!D:D)=0,"",LOOKUP($A50,original!$AE:$AE,original!D:D))</f>
        <v/>
      </c>
      <c r="J50" t="str">
        <f>IF(LOOKUP($A50,original!$AE:$AE,original!E:E)=0,"",LOOKUP($A50,original!$AE:$AE,original!E:E))</f>
        <v/>
      </c>
      <c r="K50">
        <f>LOOKUP($A50,original!$AE:$AE,original!M:M)</f>
        <v>2</v>
      </c>
      <c r="M50" t="b">
        <v>0</v>
      </c>
    </row>
    <row r="51" spans="1:13">
      <c r="A51" s="70">
        <v>34680471</v>
      </c>
      <c r="B51" s="71">
        <v>2</v>
      </c>
      <c r="C51" s="71">
        <v>2</v>
      </c>
      <c r="D51" s="70"/>
      <c r="E51" t="str">
        <f>LOOKUP($A51,original!$AE:$AE,original!H:H)</f>
        <v>rlensch@yahoo.com</v>
      </c>
      <c r="F51" t="str">
        <f>LOOKUP($A51,original!$AE:$AE,original!A:A)</f>
        <v>Robert</v>
      </c>
      <c r="G51" t="str">
        <f>LOOKUP($A51,original!$AE:$AE,original!B:B)</f>
        <v>Lensch</v>
      </c>
      <c r="H51" t="str">
        <f>LOOKUP($A51,original!$AE:$AE,original!G:G)</f>
        <v>408-893-6751</v>
      </c>
      <c r="I51" t="str">
        <f>IF(LOOKUP($A51,original!$AE:$AE,original!D:D)=0,"",LOOKUP($A51,original!$AE:$AE,original!D:D))</f>
        <v>Saratoga</v>
      </c>
      <c r="J51" t="str">
        <f>IF(LOOKUP($A51,original!$AE:$AE,original!E:E)=0,"",LOOKUP($A51,original!$AE:$AE,original!E:E))</f>
        <v>CA</v>
      </c>
      <c r="K51">
        <f>LOOKUP($A51,original!$AE:$AE,original!M:M)</f>
        <v>2</v>
      </c>
      <c r="M51" t="b">
        <v>0</v>
      </c>
    </row>
    <row r="52" spans="1:13">
      <c r="A52" s="70">
        <v>34705185</v>
      </c>
      <c r="B52" s="71">
        <v>2</v>
      </c>
      <c r="C52" s="71">
        <v>2</v>
      </c>
      <c r="D52" s="70"/>
      <c r="E52" t="str">
        <f>LOOKUP($A52,original!$AE:$AE,original!H:H)</f>
        <v>lainahall606@gmail.com</v>
      </c>
      <c r="F52" t="str">
        <f>LOOKUP($A52,original!$AE:$AE,original!A:A)</f>
        <v>Laina</v>
      </c>
      <c r="G52" t="str">
        <f>LOOKUP($A52,original!$AE:$AE,original!B:B)</f>
        <v>Hall</v>
      </c>
      <c r="H52" t="str">
        <f>LOOKUP($A52,original!$AE:$AE,original!G:G)</f>
        <v>906-589-4074</v>
      </c>
      <c r="I52" t="str">
        <f>IF(LOOKUP($A52,original!$AE:$AE,original!D:D)=0,"",LOOKUP($A52,original!$AE:$AE,original!D:D))</f>
        <v>Berkeley</v>
      </c>
      <c r="J52" t="str">
        <f>IF(LOOKUP($A52,original!$AE:$AE,original!E:E)=0,"",LOOKUP($A52,original!$AE:$AE,original!E:E))</f>
        <v>CA</v>
      </c>
      <c r="K52">
        <f>LOOKUP($A52,original!$AE:$AE,original!M:M)</f>
        <v>2</v>
      </c>
      <c r="M52" t="b">
        <v>0</v>
      </c>
    </row>
    <row r="53" spans="1:13">
      <c r="A53" s="70">
        <v>34706538</v>
      </c>
      <c r="B53" s="71">
        <v>2</v>
      </c>
      <c r="C53" s="71">
        <v>2</v>
      </c>
      <c r="D53" s="70"/>
      <c r="E53" t="str">
        <f>LOOKUP($A53,original!$AE:$AE,original!H:H)</f>
        <v>erincalfee@gmail.com</v>
      </c>
      <c r="F53" t="str">
        <f>LOOKUP($A53,original!$AE:$AE,original!A:A)</f>
        <v>Erin</v>
      </c>
      <c r="G53" t="str">
        <f>LOOKUP($A53,original!$AE:$AE,original!B:B)</f>
        <v>Calfee</v>
      </c>
      <c r="H53" t="str">
        <f>LOOKUP($A53,original!$AE:$AE,original!G:G)</f>
        <v>530-220-3968</v>
      </c>
      <c r="I53" t="str">
        <f>IF(LOOKUP($A53,original!$AE:$AE,original!D:D)=0,"",LOOKUP($A53,original!$AE:$AE,original!D:D))</f>
        <v/>
      </c>
      <c r="J53" t="str">
        <f>IF(LOOKUP($A53,original!$AE:$AE,original!E:E)=0,"",LOOKUP($A53,original!$AE:$AE,original!E:E))</f>
        <v/>
      </c>
      <c r="K53">
        <f>LOOKUP($A53,original!$AE:$AE,original!M:M)</f>
        <v>2</v>
      </c>
      <c r="M53" t="b">
        <v>0</v>
      </c>
    </row>
    <row r="54" spans="1:13">
      <c r="A54" s="70">
        <v>34737193</v>
      </c>
      <c r="B54" s="71">
        <v>2</v>
      </c>
      <c r="C54" s="71">
        <v>2</v>
      </c>
      <c r="D54" s="70"/>
      <c r="E54" t="str">
        <f>LOOKUP($A54,original!$AE:$AE,original!H:H)</f>
        <v>tanner.neville@gmail.com</v>
      </c>
      <c r="F54" t="str">
        <f>LOOKUP($A54,original!$AE:$AE,original!A:A)</f>
        <v>Tanner</v>
      </c>
      <c r="G54" t="str">
        <f>LOOKUP($A54,original!$AE:$AE,original!B:B)</f>
        <v>Neville</v>
      </c>
      <c r="H54" t="str">
        <f>LOOKUP($A54,original!$AE:$AE,original!G:G)</f>
        <v>510-919-5705</v>
      </c>
      <c r="I54" t="str">
        <f>IF(LOOKUP($A54,original!$AE:$AE,original!D:D)=0,"",LOOKUP($A54,original!$AE:$AE,original!D:D))</f>
        <v/>
      </c>
      <c r="J54" t="str">
        <f>IF(LOOKUP($A54,original!$AE:$AE,original!E:E)=0,"",LOOKUP($A54,original!$AE:$AE,original!E:E))</f>
        <v/>
      </c>
      <c r="K54">
        <f>LOOKUP($A54,original!$AE:$AE,original!M:M)</f>
        <v>2</v>
      </c>
      <c r="M54" t="b">
        <v>0</v>
      </c>
    </row>
    <row r="55" spans="1:13">
      <c r="A55" s="70">
        <v>34737503</v>
      </c>
      <c r="B55" s="71">
        <v>2</v>
      </c>
      <c r="C55" s="71">
        <v>2</v>
      </c>
      <c r="D55" s="70"/>
      <c r="E55" t="str">
        <f>LOOKUP($A55,original!$AE:$AE,original!H:H)</f>
        <v>jenny.m.rempel@gmail.com</v>
      </c>
      <c r="F55" t="str">
        <f>LOOKUP($A55,original!$AE:$AE,original!A:A)</f>
        <v>Jenny</v>
      </c>
      <c r="G55" t="str">
        <f>LOOKUP($A55,original!$AE:$AE,original!B:B)</f>
        <v>Rempel</v>
      </c>
      <c r="H55" t="str">
        <f>LOOKUP($A55,original!$AE:$AE,original!G:G)</f>
        <v>559-284-6327</v>
      </c>
      <c r="I55" t="str">
        <f>IF(LOOKUP($A55,original!$AE:$AE,original!D:D)=0,"",LOOKUP($A55,original!$AE:$AE,original!D:D))</f>
        <v>Berkeley</v>
      </c>
      <c r="J55" t="str">
        <f>IF(LOOKUP($A55,original!$AE:$AE,original!E:E)=0,"",LOOKUP($A55,original!$AE:$AE,original!E:E))</f>
        <v>CA</v>
      </c>
      <c r="K55">
        <f>LOOKUP($A55,original!$AE:$AE,original!M:M)</f>
        <v>2</v>
      </c>
      <c r="M55" t="b">
        <v>0</v>
      </c>
    </row>
    <row r="56" spans="1:13">
      <c r="A56" s="70">
        <v>34769183</v>
      </c>
      <c r="B56" s="71">
        <v>1</v>
      </c>
      <c r="C56" s="71">
        <v>1</v>
      </c>
      <c r="D56" s="70"/>
      <c r="E56" t="str">
        <f>LOOKUP($A56,original!$AE:$AE,original!H:H)</f>
        <v>jasnault@chicouta.org</v>
      </c>
      <c r="F56" t="str">
        <f>LOOKUP($A56,original!$AE:$AE,original!A:A)</f>
        <v>Joe</v>
      </c>
      <c r="G56" t="str">
        <f>LOOKUP($A56,original!$AE:$AE,original!B:B)</f>
        <v>Asnault</v>
      </c>
      <c r="H56" t="str">
        <f>LOOKUP($A56,original!$AE:$AE,original!G:G)</f>
        <v>530-966-5617</v>
      </c>
      <c r="I56" t="str">
        <f>IF(LOOKUP($A56,original!$AE:$AE,original!D:D)=0,"",LOOKUP($A56,original!$AE:$AE,original!D:D))</f>
        <v/>
      </c>
      <c r="J56" t="str">
        <f>IF(LOOKUP($A56,original!$AE:$AE,original!E:E)=0,"",LOOKUP($A56,original!$AE:$AE,original!E:E))</f>
        <v/>
      </c>
      <c r="K56">
        <f>LOOKUP($A56,original!$AE:$AE,original!M:M)</f>
        <v>1</v>
      </c>
      <c r="M56" t="b">
        <v>0</v>
      </c>
    </row>
    <row r="57" spans="1:13">
      <c r="A57" s="70">
        <v>34808935</v>
      </c>
      <c r="B57" s="71">
        <v>2</v>
      </c>
      <c r="C57" s="71">
        <v>2</v>
      </c>
      <c r="D57" s="70"/>
      <c r="E57" t="str">
        <f>LOOKUP($A57,original!$AE:$AE,original!H:H)</f>
        <v>bryn.miller117@gmail.com</v>
      </c>
      <c r="F57" t="str">
        <f>LOOKUP($A57,original!$AE:$AE,original!A:A)</f>
        <v>Bryn</v>
      </c>
      <c r="G57" t="str">
        <f>LOOKUP($A57,original!$AE:$AE,original!B:B)</f>
        <v>Miller</v>
      </c>
      <c r="H57" t="str">
        <f>LOOKUP($A57,original!$AE:$AE,original!G:G)</f>
        <v>978-460-2875</v>
      </c>
      <c r="I57" t="str">
        <f>IF(LOOKUP($A57,original!$AE:$AE,original!D:D)=0,"",LOOKUP($A57,original!$AE:$AE,original!D:D))</f>
        <v>San Francisco</v>
      </c>
      <c r="J57" t="str">
        <f>IF(LOOKUP($A57,original!$AE:$AE,original!E:E)=0,"",LOOKUP($A57,original!$AE:$AE,original!E:E))</f>
        <v>CA</v>
      </c>
      <c r="K57">
        <f>LOOKUP($A57,original!$AE:$AE,original!M:M)</f>
        <v>2</v>
      </c>
      <c r="M57" t="b">
        <v>0</v>
      </c>
    </row>
    <row r="58" spans="1:13">
      <c r="A58" s="70">
        <v>35210793</v>
      </c>
      <c r="B58" s="71">
        <v>2</v>
      </c>
      <c r="C58" s="71">
        <v>2</v>
      </c>
      <c r="D58" s="70"/>
      <c r="E58" t="str">
        <f>LOOKUP($A58,original!$AE:$AE,original!H:H)</f>
        <v>tahoemountaintapas@gmail.com</v>
      </c>
      <c r="F58" t="str">
        <f>LOOKUP($A58,original!$AE:$AE,original!A:A)</f>
        <v>Miranda</v>
      </c>
      <c r="G58" t="str">
        <f>LOOKUP($A58,original!$AE:$AE,original!B:B)</f>
        <v>Worrell</v>
      </c>
      <c r="H58" t="str">
        <f>LOOKUP($A58,original!$AE:$AE,original!G:G)</f>
        <v>530-448-0637</v>
      </c>
      <c r="I58" t="str">
        <f>IF(LOOKUP($A58,original!$AE:$AE,original!D:D)=0,"",LOOKUP($A58,original!$AE:$AE,original!D:D))</f>
        <v/>
      </c>
      <c r="J58" t="str">
        <f>IF(LOOKUP($A58,original!$AE:$AE,original!E:E)=0,"",LOOKUP($A58,original!$AE:$AE,original!E:E))</f>
        <v/>
      </c>
      <c r="K58">
        <f>LOOKUP($A58,original!$AE:$AE,original!M:M)</f>
        <v>2</v>
      </c>
      <c r="M58" t="b">
        <v>0</v>
      </c>
    </row>
    <row r="59" spans="1:13">
      <c r="A59" s="70">
        <v>35244304</v>
      </c>
      <c r="B59" s="71">
        <v>2</v>
      </c>
      <c r="C59" s="71">
        <v>2</v>
      </c>
      <c r="D59" s="70"/>
      <c r="E59" t="str">
        <f>LOOKUP($A59,original!$AE:$AE,original!H:H)</f>
        <v>ktmori@gmail.com</v>
      </c>
      <c r="F59" t="str">
        <f>LOOKUP($A59,original!$AE:$AE,original!A:A)</f>
        <v>Kevin</v>
      </c>
      <c r="G59" t="str">
        <f>LOOKUP($A59,original!$AE:$AE,original!B:B)</f>
        <v>Mori</v>
      </c>
      <c r="H59" t="str">
        <f>LOOKUP($A59,original!$AE:$AE,original!G:G)</f>
        <v>630-310-9004</v>
      </c>
      <c r="I59" t="str">
        <f>IF(LOOKUP($A59,original!$AE:$AE,original!D:D)=0,"",LOOKUP($A59,original!$AE:$AE,original!D:D))</f>
        <v>Berkeley</v>
      </c>
      <c r="J59" t="str">
        <f>IF(LOOKUP($A59,original!$AE:$AE,original!E:E)=0,"",LOOKUP($A59,original!$AE:$AE,original!E:E))</f>
        <v>CA</v>
      </c>
      <c r="K59">
        <f>LOOKUP($A59,original!$AE:$AE,original!M:M)</f>
        <v>2</v>
      </c>
      <c r="M59" t="b">
        <v>0</v>
      </c>
    </row>
    <row r="60" spans="1:13">
      <c r="A60" s="70">
        <v>35261984</v>
      </c>
      <c r="B60" s="71">
        <v>2</v>
      </c>
      <c r="C60" s="71">
        <v>2</v>
      </c>
      <c r="D60" s="70"/>
      <c r="E60" t="str">
        <f>LOOKUP($A60,original!$AE:$AE,original!H:H)</f>
        <v>kapofahl@gmail.com</v>
      </c>
      <c r="F60" t="str">
        <f>LOOKUP($A60,original!$AE:$AE,original!A:A)</f>
        <v>Katie</v>
      </c>
      <c r="G60" t="str">
        <f>LOOKUP($A60,original!$AE:$AE,original!B:B)</f>
        <v>Pofahl</v>
      </c>
      <c r="H60" t="str">
        <f>LOOKUP($A60,original!$AE:$AE,original!G:G)</f>
        <v>925-255-3788</v>
      </c>
      <c r="I60" t="str">
        <f>IF(LOOKUP($A60,original!$AE:$AE,original!D:D)=0,"",LOOKUP($A60,original!$AE:$AE,original!D:D))</f>
        <v>South Lake Tahoe</v>
      </c>
      <c r="J60" t="str">
        <f>IF(LOOKUP($A60,original!$AE:$AE,original!E:E)=0,"",LOOKUP($A60,original!$AE:$AE,original!E:E))</f>
        <v>CA</v>
      </c>
      <c r="K60">
        <f>LOOKUP($A60,original!$AE:$AE,original!M:M)</f>
        <v>2</v>
      </c>
      <c r="M60" t="b">
        <v>0</v>
      </c>
    </row>
    <row r="61" spans="1:13">
      <c r="A61" s="70">
        <v>35275115</v>
      </c>
      <c r="B61" s="71">
        <v>9</v>
      </c>
      <c r="C61" s="71">
        <v>9</v>
      </c>
      <c r="D61" s="70"/>
      <c r="E61" t="str">
        <f>LOOKUP($A61,original!$AE:$AE,original!H:H)</f>
        <v>veronica.chouinard@gmail.com</v>
      </c>
      <c r="F61" t="str">
        <f>LOOKUP($A61,original!$AE:$AE,original!A:A)</f>
        <v>Veronica</v>
      </c>
      <c r="G61" t="str">
        <f>LOOKUP($A61,original!$AE:$AE,original!B:B)</f>
        <v>Chouinard</v>
      </c>
      <c r="H61" t="str">
        <f>LOOKUP($A61,original!$AE:$AE,original!G:G)</f>
        <v>617-710-7761</v>
      </c>
      <c r="I61" t="str">
        <f>IF(LOOKUP($A61,original!$AE:$AE,original!D:D)=0,"",LOOKUP($A61,original!$AE:$AE,original!D:D))</f>
        <v>Palo Alto</v>
      </c>
      <c r="J61" t="str">
        <f>IF(LOOKUP($A61,original!$AE:$AE,original!E:E)=0,"",LOOKUP($A61,original!$AE:$AE,original!E:E))</f>
        <v>CA</v>
      </c>
      <c r="K61">
        <f>LOOKUP($A61,original!$AE:$AE,original!M:M)</f>
        <v>9</v>
      </c>
      <c r="M61" t="b">
        <v>0</v>
      </c>
    </row>
    <row r="62" spans="1:13">
      <c r="A62" s="70">
        <v>35275980</v>
      </c>
      <c r="B62" s="71">
        <v>2</v>
      </c>
      <c r="C62" s="71">
        <v>2</v>
      </c>
      <c r="D62" s="70"/>
      <c r="E62" t="str">
        <f>LOOKUP($A62,original!$AE:$AE,original!H:H)</f>
        <v>gprout009@gmail.com</v>
      </c>
      <c r="F62" t="str">
        <f>LOOKUP($A62,original!$AE:$AE,original!A:A)</f>
        <v>Greg</v>
      </c>
      <c r="G62" t="str">
        <f>LOOKUP($A62,original!$AE:$AE,original!B:B)</f>
        <v>Prouty</v>
      </c>
      <c r="H62" t="str">
        <f>LOOKUP($A62,original!$AE:$AE,original!G:G)</f>
        <v>916-606-9046</v>
      </c>
      <c r="I62" t="str">
        <f>IF(LOOKUP($A62,original!$AE:$AE,original!D:D)=0,"",LOOKUP($A62,original!$AE:$AE,original!D:D))</f>
        <v/>
      </c>
      <c r="J62" t="str">
        <f>IF(LOOKUP($A62,original!$AE:$AE,original!E:E)=0,"",LOOKUP($A62,original!$AE:$AE,original!E:E))</f>
        <v/>
      </c>
      <c r="K62">
        <f>LOOKUP($A62,original!$AE:$AE,original!M:M)</f>
        <v>2</v>
      </c>
      <c r="M62" t="b">
        <v>0</v>
      </c>
    </row>
    <row r="63" spans="1:13">
      <c r="A63" s="70">
        <v>35281151</v>
      </c>
      <c r="B63" s="71">
        <v>2</v>
      </c>
      <c r="C63" s="71">
        <v>2</v>
      </c>
      <c r="D63" s="70"/>
      <c r="E63" t="str">
        <f>LOOKUP($A63,original!$AE:$AE,original!H:H)</f>
        <v>Jasonmarteldye@gmail.com</v>
      </c>
      <c r="F63" t="str">
        <f>LOOKUP($A63,original!$AE:$AE,original!A:A)</f>
        <v>Jason</v>
      </c>
      <c r="G63" t="str">
        <f>LOOKUP($A63,original!$AE:$AE,original!B:B)</f>
        <v>Martel-Dye</v>
      </c>
      <c r="H63" t="str">
        <f>LOOKUP($A63,original!$AE:$AE,original!G:G)</f>
        <v>831-210-1162</v>
      </c>
      <c r="I63" t="str">
        <f>IF(LOOKUP($A63,original!$AE:$AE,original!D:D)=0,"",LOOKUP($A63,original!$AE:$AE,original!D:D))</f>
        <v>Sacramento</v>
      </c>
      <c r="J63" t="str">
        <f>IF(LOOKUP($A63,original!$AE:$AE,original!E:E)=0,"",LOOKUP($A63,original!$AE:$AE,original!E:E))</f>
        <v>CA</v>
      </c>
      <c r="K63">
        <f>LOOKUP($A63,original!$AE:$AE,original!M:M)</f>
        <v>2</v>
      </c>
      <c r="M63" t="b">
        <v>0</v>
      </c>
    </row>
    <row r="64" spans="1:13">
      <c r="A64" s="70">
        <v>35294552</v>
      </c>
      <c r="B64" s="71">
        <v>2</v>
      </c>
      <c r="C64" s="71">
        <v>2</v>
      </c>
      <c r="D64" s="70"/>
      <c r="E64" t="str">
        <f>LOOKUP($A64,original!$AE:$AE,original!H:H)</f>
        <v>shuojingwang@gmail.com</v>
      </c>
      <c r="F64" t="str">
        <f>LOOKUP($A64,original!$AE:$AE,original!A:A)</f>
        <v>Shuojing</v>
      </c>
      <c r="G64" t="str">
        <f>LOOKUP($A64,original!$AE:$AE,original!B:B)</f>
        <v>Wang</v>
      </c>
      <c r="H64" t="str">
        <f>LOOKUP($A64,original!$AE:$AE,original!G:G)</f>
        <v>512-289-3570</v>
      </c>
      <c r="I64" t="str">
        <f>IF(LOOKUP($A64,original!$AE:$AE,original!D:D)=0,"",LOOKUP($A64,original!$AE:$AE,original!D:D))</f>
        <v>San Jose</v>
      </c>
      <c r="J64" t="str">
        <f>IF(LOOKUP($A64,original!$AE:$AE,original!E:E)=0,"",LOOKUP($A64,original!$AE:$AE,original!E:E))</f>
        <v>CA</v>
      </c>
      <c r="K64">
        <f>LOOKUP($A64,original!$AE:$AE,original!M:M)</f>
        <v>2</v>
      </c>
      <c r="M64" t="b">
        <v>0</v>
      </c>
    </row>
    <row r="65" spans="1:13">
      <c r="A65" s="70">
        <v>35768949</v>
      </c>
      <c r="B65" s="71">
        <v>3</v>
      </c>
      <c r="C65" s="71">
        <v>3</v>
      </c>
      <c r="D65" s="70"/>
      <c r="E65" t="str">
        <f>LOOKUP($A65,original!$AE:$AE,original!H:H)</f>
        <v>propwash876@gmail.com</v>
      </c>
      <c r="F65" t="str">
        <f>LOOKUP($A65,original!$AE:$AE,original!A:A)</f>
        <v>Jason</v>
      </c>
      <c r="G65" t="str">
        <f>LOOKUP($A65,original!$AE:$AE,original!B:B)</f>
        <v>McLachlan</v>
      </c>
      <c r="H65" t="str">
        <f>LOOKUP($A65,original!$AE:$AE,original!G:G)</f>
        <v>530-913-8619</v>
      </c>
      <c r="I65" t="str">
        <f>IF(LOOKUP($A65,original!$AE:$AE,original!D:D)=0,"",LOOKUP($A65,original!$AE:$AE,original!D:D))</f>
        <v/>
      </c>
      <c r="J65" t="str">
        <f>IF(LOOKUP($A65,original!$AE:$AE,original!E:E)=0,"",LOOKUP($A65,original!$AE:$AE,original!E:E))</f>
        <v/>
      </c>
      <c r="K65">
        <f>LOOKUP($A65,original!$AE:$AE,original!M:M)</f>
        <v>3</v>
      </c>
      <c r="M65" t="b">
        <v>1</v>
      </c>
    </row>
    <row r="66" spans="1:13">
      <c r="A66" s="70">
        <v>36702536</v>
      </c>
      <c r="B66" s="71">
        <v>5</v>
      </c>
      <c r="C66" s="71">
        <v>5</v>
      </c>
      <c r="D66" s="70"/>
      <c r="E66" t="str">
        <f>LOOKUP($A66,original!$AE:$AE,original!H:H)</f>
        <v>charlie.hotz@gmail.com</v>
      </c>
      <c r="F66" t="str">
        <f>LOOKUP($A66,original!$AE:$AE,original!A:A)</f>
        <v>Charlie</v>
      </c>
      <c r="G66" t="str">
        <f>LOOKUP($A66,original!$AE:$AE,original!B:B)</f>
        <v>Hotz</v>
      </c>
      <c r="H66" t="str">
        <f>LOOKUP($A66,original!$AE:$AE,original!G:G)</f>
        <v>650-450-2538</v>
      </c>
      <c r="I66" t="str">
        <f>IF(LOOKUP($A66,original!$AE:$AE,original!D:D)=0,"",LOOKUP($A66,original!$AE:$AE,original!D:D))</f>
        <v>San Rafael</v>
      </c>
      <c r="J66" t="str">
        <f>IF(LOOKUP($A66,original!$AE:$AE,original!E:E)=0,"",LOOKUP($A66,original!$AE:$AE,original!E:E))</f>
        <v>CA</v>
      </c>
      <c r="K66">
        <f>LOOKUP($A66,original!$AE:$AE,original!M:M)</f>
        <v>5</v>
      </c>
      <c r="M66" t="b">
        <v>0</v>
      </c>
    </row>
    <row r="67" spans="1:13">
      <c r="A67" s="70">
        <v>36715494</v>
      </c>
      <c r="B67" s="71">
        <v>2</v>
      </c>
      <c r="C67" s="71">
        <v>2</v>
      </c>
      <c r="D67" s="70"/>
      <c r="E67" t="str">
        <f>LOOKUP($A67,original!$AE:$AE,original!H:H)</f>
        <v>ajcrutch@gmail.com</v>
      </c>
      <c r="F67" t="str">
        <f>LOOKUP($A67,original!$AE:$AE,original!A:A)</f>
        <v>Andy</v>
      </c>
      <c r="G67" t="str">
        <f>LOOKUP($A67,original!$AE:$AE,original!B:B)</f>
        <v>Crutchfield</v>
      </c>
      <c r="H67" t="str">
        <f>LOOKUP($A67,original!$AE:$AE,original!G:G)</f>
        <v>913-481-1918</v>
      </c>
      <c r="I67" t="str">
        <f>IF(LOOKUP($A67,original!$AE:$AE,original!D:D)=0,"",LOOKUP($A67,original!$AE:$AE,original!D:D))</f>
        <v>South Lake Tahoe</v>
      </c>
      <c r="J67" t="str">
        <f>IF(LOOKUP($A67,original!$AE:$AE,original!E:E)=0,"",LOOKUP($A67,original!$AE:$AE,original!E:E))</f>
        <v>CA</v>
      </c>
      <c r="K67">
        <f>LOOKUP($A67,original!$AE:$AE,original!M:M)</f>
        <v>2</v>
      </c>
      <c r="M67" t="b">
        <v>0</v>
      </c>
    </row>
    <row r="68" spans="1:13">
      <c r="A68" s="70">
        <v>36779497</v>
      </c>
      <c r="B68" s="71">
        <v>2</v>
      </c>
      <c r="C68" s="71">
        <v>2</v>
      </c>
      <c r="D68" s="70"/>
      <c r="E68" t="str">
        <f>LOOKUP($A68,original!$AE:$AE,original!H:H)</f>
        <v>djmrtoad@hotmail.com</v>
      </c>
      <c r="F68" t="str">
        <f>LOOKUP($A68,original!$AE:$AE,original!A:A)</f>
        <v>James</v>
      </c>
      <c r="G68" t="str">
        <f>LOOKUP($A68,original!$AE:$AE,original!B:B)</f>
        <v>Lindemier</v>
      </c>
      <c r="H68" t="str">
        <f>LOOKUP($A68,original!$AE:$AE,original!G:G)</f>
        <v>775-530-5993</v>
      </c>
      <c r="I68" t="str">
        <f>IF(LOOKUP($A68,original!$AE:$AE,original!D:D)=0,"",LOOKUP($A68,original!$AE:$AE,original!D:D))</f>
        <v>Reno</v>
      </c>
      <c r="J68" t="str">
        <f>IF(LOOKUP($A68,original!$AE:$AE,original!E:E)=0,"",LOOKUP($A68,original!$AE:$AE,original!E:E))</f>
        <v>NV</v>
      </c>
      <c r="K68">
        <f>LOOKUP($A68,original!$AE:$AE,original!M:M)</f>
        <v>2</v>
      </c>
      <c r="M68" t="b">
        <v>0</v>
      </c>
    </row>
    <row r="69" spans="1:13">
      <c r="A69" s="70">
        <v>36792262</v>
      </c>
      <c r="B69" s="71">
        <v>2</v>
      </c>
      <c r="C69" s="71">
        <v>2</v>
      </c>
      <c r="D69" s="70"/>
      <c r="E69" t="str">
        <f>LOOKUP($A69,original!$AE:$AE,original!H:H)</f>
        <v>Ajorgensen4897@gmail.com</v>
      </c>
      <c r="F69" t="str">
        <f>LOOKUP($A69,original!$AE:$AE,original!A:A)</f>
        <v>Andreas</v>
      </c>
      <c r="G69" t="str">
        <f>LOOKUP($A69,original!$AE:$AE,original!B:B)</f>
        <v>Jorgensen</v>
      </c>
      <c r="H69" t="str">
        <f>LOOKUP($A69,original!$AE:$AE,original!G:G)</f>
        <v>503-330-4897</v>
      </c>
      <c r="I69" t="str">
        <f>IF(LOOKUP($A69,original!$AE:$AE,original!D:D)=0,"",LOOKUP($A69,original!$AE:$AE,original!D:D))</f>
        <v>Sacramento</v>
      </c>
      <c r="J69" t="str">
        <f>IF(LOOKUP($A69,original!$AE:$AE,original!E:E)=0,"",LOOKUP($A69,original!$AE:$AE,original!E:E))</f>
        <v>CA</v>
      </c>
      <c r="K69">
        <f>LOOKUP($A69,original!$AE:$AE,original!M:M)</f>
        <v>2</v>
      </c>
      <c r="M69" t="b">
        <v>0</v>
      </c>
    </row>
    <row r="70" spans="1:13">
      <c r="A70" s="70">
        <v>36811113</v>
      </c>
      <c r="B70" s="71">
        <v>2</v>
      </c>
      <c r="C70" s="71">
        <v>2</v>
      </c>
      <c r="D70" s="70"/>
      <c r="E70" t="str">
        <f>LOOKUP($A70,original!$AE:$AE,original!H:H)</f>
        <v>terri.michel@gmail.com</v>
      </c>
      <c r="F70" t="str">
        <f>LOOKUP($A70,original!$AE:$AE,original!A:A)</f>
        <v>Terri</v>
      </c>
      <c r="G70" t="str">
        <f>LOOKUP($A70,original!$AE:$AE,original!B:B)</f>
        <v>Michel</v>
      </c>
      <c r="H70" t="str">
        <f>LOOKUP($A70,original!$AE:$AE,original!G:G)</f>
        <v>650-248-8335</v>
      </c>
      <c r="I70" t="str">
        <f>IF(LOOKUP($A70,original!$AE:$AE,original!D:D)=0,"",LOOKUP($A70,original!$AE:$AE,original!D:D))</f>
        <v>Grass Valley</v>
      </c>
      <c r="J70" t="str">
        <f>IF(LOOKUP($A70,original!$AE:$AE,original!E:E)=0,"",LOOKUP($A70,original!$AE:$AE,original!E:E))</f>
        <v>CA</v>
      </c>
      <c r="K70">
        <f>LOOKUP($A70,original!$AE:$AE,original!M:M)</f>
        <v>2</v>
      </c>
      <c r="M70" t="b">
        <v>0</v>
      </c>
    </row>
    <row r="71" spans="1:13">
      <c r="A71" s="70">
        <v>36829985</v>
      </c>
      <c r="B71" s="71">
        <v>1</v>
      </c>
      <c r="C71" s="71">
        <v>1</v>
      </c>
      <c r="D71" s="70"/>
      <c r="E71" t="str">
        <f>LOOKUP($A71,original!$AE:$AE,original!H:H)</f>
        <v>lauren.tackbary@sierraclub.org</v>
      </c>
      <c r="F71" t="str">
        <f>LOOKUP($A71,original!$AE:$AE,original!A:A)</f>
        <v>Lauren</v>
      </c>
      <c r="G71" t="str">
        <f>LOOKUP($A71,original!$AE:$AE,original!B:B)</f>
        <v>Tackbary</v>
      </c>
      <c r="H71" t="str">
        <f>LOOKUP($A71,original!$AE:$AE,original!G:G)</f>
        <v>630-408-0591</v>
      </c>
      <c r="I71" t="str">
        <f>IF(LOOKUP($A71,original!$AE:$AE,original!D:D)=0,"",LOOKUP($A71,original!$AE:$AE,original!D:D))</f>
        <v>Grass Valley</v>
      </c>
      <c r="J71" t="str">
        <f>IF(LOOKUP($A71,original!$AE:$AE,original!E:E)=0,"",LOOKUP($A71,original!$AE:$AE,original!E:E))</f>
        <v>CA</v>
      </c>
      <c r="K71">
        <f>LOOKUP($A71,original!$AE:$AE,original!M:M)</f>
        <v>1</v>
      </c>
      <c r="M71" t="b">
        <v>0</v>
      </c>
    </row>
    <row r="72" spans="1:13">
      <c r="A72" s="70">
        <v>37290782</v>
      </c>
      <c r="B72" s="71">
        <v>2</v>
      </c>
      <c r="C72" s="71">
        <v>2</v>
      </c>
      <c r="D72" s="70"/>
      <c r="E72" t="str">
        <f>LOOKUP($A72,original!$AE:$AE,original!H:H)</f>
        <v>iamscears199@aol.com</v>
      </c>
      <c r="F72" t="str">
        <f>LOOKUP($A72,original!$AE:$AE,original!A:A)</f>
        <v>Isaac</v>
      </c>
      <c r="G72" t="str">
        <f>LOOKUP($A72,original!$AE:$AE,original!B:B)</f>
        <v>Scears</v>
      </c>
      <c r="H72" t="str">
        <f>LOOKUP($A72,original!$AE:$AE,original!G:G)</f>
        <v>510-880-9995</v>
      </c>
      <c r="I72" t="str">
        <f>IF(LOOKUP($A72,original!$AE:$AE,original!D:D)=0,"",LOOKUP($A72,original!$AE:$AE,original!D:D))</f>
        <v/>
      </c>
      <c r="J72" t="str">
        <f>IF(LOOKUP($A72,original!$AE:$AE,original!E:E)=0,"",LOOKUP($A72,original!$AE:$AE,original!E:E))</f>
        <v/>
      </c>
      <c r="K72">
        <f>LOOKUP($A72,original!$AE:$AE,original!M:M)</f>
        <v>2</v>
      </c>
      <c r="M72" t="b">
        <v>0</v>
      </c>
    </row>
    <row r="73" spans="1:13">
      <c r="A73" s="70">
        <v>37726952</v>
      </c>
      <c r="B73" s="71">
        <v>2</v>
      </c>
      <c r="C73" s="71">
        <v>2</v>
      </c>
      <c r="D73" s="70"/>
      <c r="E73" t="str">
        <f>LOOKUP($A73,original!$AE:$AE,original!H:H)</f>
        <v>smattoon@gmail.com</v>
      </c>
      <c r="F73" t="str">
        <f>LOOKUP($A73,original!$AE:$AE,original!A:A)</f>
        <v>Scott</v>
      </c>
      <c r="G73" t="str">
        <f>LOOKUP($A73,original!$AE:$AE,original!B:B)</f>
        <v>Mattoon</v>
      </c>
      <c r="H73" t="str">
        <f>LOOKUP($A73,original!$AE:$AE,original!G:G)</f>
        <v>415-601-7101</v>
      </c>
      <c r="I73" t="str">
        <f>IF(LOOKUP($A73,original!$AE:$AE,original!D:D)=0,"",LOOKUP($A73,original!$AE:$AE,original!D:D))</f>
        <v/>
      </c>
      <c r="J73" t="str">
        <f>IF(LOOKUP($A73,original!$AE:$AE,original!E:E)=0,"",LOOKUP($A73,original!$AE:$AE,original!E:E))</f>
        <v/>
      </c>
      <c r="K73">
        <f>LOOKUP($A73,original!$AE:$AE,original!M:M)</f>
        <v>2</v>
      </c>
      <c r="M73" t="b">
        <v>1</v>
      </c>
    </row>
    <row r="74" spans="1:13">
      <c r="A74" s="70">
        <v>37777504</v>
      </c>
      <c r="B74" s="71">
        <v>2</v>
      </c>
      <c r="C74" s="71">
        <v>2</v>
      </c>
      <c r="D74" s="70"/>
      <c r="E74" t="str">
        <f>LOOKUP($A74,original!$AE:$AE,original!H:H)</f>
        <v>keith.lemay@gmail.com</v>
      </c>
      <c r="F74" t="str">
        <f>LOOKUP($A74,original!$AE:$AE,original!A:A)</f>
        <v>Keith</v>
      </c>
      <c r="G74" t="str">
        <f>LOOKUP($A74,original!$AE:$AE,original!B:B)</f>
        <v>Lemay</v>
      </c>
      <c r="H74" t="str">
        <f>LOOKUP($A74,original!$AE:$AE,original!G:G)</f>
        <v>360-510-5824</v>
      </c>
      <c r="I74" t="str">
        <f>IF(LOOKUP($A74,original!$AE:$AE,original!D:D)=0,"",LOOKUP($A74,original!$AE:$AE,original!D:D))</f>
        <v>South Lake Tahoe</v>
      </c>
      <c r="J74" t="str">
        <f>IF(LOOKUP($A74,original!$AE:$AE,original!E:E)=0,"",LOOKUP($A74,original!$AE:$AE,original!E:E))</f>
        <v>CA</v>
      </c>
      <c r="K74">
        <f>LOOKUP($A74,original!$AE:$AE,original!M:M)</f>
        <v>2</v>
      </c>
      <c r="M74" t="b">
        <v>0</v>
      </c>
    </row>
    <row r="75" spans="1:13">
      <c r="A75" s="70">
        <v>37815752</v>
      </c>
      <c r="B75" s="71">
        <v>2</v>
      </c>
      <c r="C75" s="71">
        <v>2</v>
      </c>
      <c r="D75" s="70"/>
      <c r="E75" t="str">
        <f>LOOKUP($A75,original!$AE:$AE,original!H:H)</f>
        <v>scottwkidd@gmail.com</v>
      </c>
      <c r="F75" t="str">
        <f>LOOKUP($A75,original!$AE:$AE,original!A:A)</f>
        <v>Scott</v>
      </c>
      <c r="G75" t="str">
        <f>LOOKUP($A75,original!$AE:$AE,original!B:B)</f>
        <v>Kidd</v>
      </c>
      <c r="H75" t="str">
        <f>LOOKUP($A75,original!$AE:$AE,original!G:G)</f>
        <v>925-297-9683</v>
      </c>
      <c r="I75" t="str">
        <f>IF(LOOKUP($A75,original!$AE:$AE,original!D:D)=0,"",LOOKUP($A75,original!$AE:$AE,original!D:D))</f>
        <v>Carnelian Bay</v>
      </c>
      <c r="J75" t="str">
        <f>IF(LOOKUP($A75,original!$AE:$AE,original!E:E)=0,"",LOOKUP($A75,original!$AE:$AE,original!E:E))</f>
        <v>CA</v>
      </c>
      <c r="K75">
        <f>LOOKUP($A75,original!$AE:$AE,original!M:M)</f>
        <v>2</v>
      </c>
      <c r="M75" t="b">
        <v>0</v>
      </c>
    </row>
    <row r="76" spans="1:13">
      <c r="A76" s="70">
        <v>37816949</v>
      </c>
      <c r="B76" s="71">
        <v>2</v>
      </c>
      <c r="C76" s="71">
        <v>2</v>
      </c>
      <c r="D76" s="70"/>
      <c r="E76" t="str">
        <f>LOOKUP($A76,original!$AE:$AE,original!H:H)</f>
        <v>protourchef@hotmail.com</v>
      </c>
      <c r="F76" t="str">
        <f>LOOKUP($A76,original!$AE:$AE,original!A:A)</f>
        <v>Eric</v>
      </c>
      <c r="G76" t="str">
        <f>LOOKUP($A76,original!$AE:$AE,original!B:B)</f>
        <v>Liebendorfer</v>
      </c>
      <c r="H76" t="str">
        <f>LOOKUP($A76,original!$AE:$AE,original!G:G)</f>
        <v>775-315-5360</v>
      </c>
      <c r="I76" t="str">
        <f>IF(LOOKUP($A76,original!$AE:$AE,original!D:D)=0,"",LOOKUP($A76,original!$AE:$AE,original!D:D))</f>
        <v/>
      </c>
      <c r="J76" t="str">
        <f>IF(LOOKUP($A76,original!$AE:$AE,original!E:E)=0,"",LOOKUP($A76,original!$AE:$AE,original!E:E))</f>
        <v/>
      </c>
      <c r="K76">
        <f>LOOKUP($A76,original!$AE:$AE,original!M:M)</f>
        <v>2</v>
      </c>
      <c r="M76" t="b">
        <v>0</v>
      </c>
    </row>
    <row r="77" spans="1:13">
      <c r="A77" s="70">
        <v>37834786</v>
      </c>
      <c r="B77" s="71">
        <v>2</v>
      </c>
      <c r="C77" s="71">
        <v>2</v>
      </c>
      <c r="D77" s="70"/>
      <c r="E77" t="str">
        <f>LOOKUP($A77,original!$AE:$AE,original!H:H)</f>
        <v>martin.p.carnogursky@gmail.com</v>
      </c>
      <c r="F77" t="str">
        <f>LOOKUP($A77,original!$AE:$AE,original!A:A)</f>
        <v>Martin</v>
      </c>
      <c r="G77" t="str">
        <f>LOOKUP($A77,original!$AE:$AE,original!B:B)</f>
        <v xml:space="preserve">Carnogursky </v>
      </c>
      <c r="H77" t="str">
        <f>LOOKUP($A77,original!$AE:$AE,original!G:G)</f>
        <v>650-722-2931</v>
      </c>
      <c r="I77" t="str">
        <f>IF(LOOKUP($A77,original!$AE:$AE,original!D:D)=0,"",LOOKUP($A77,original!$AE:$AE,original!D:D))</f>
        <v>San Francisco</v>
      </c>
      <c r="J77" t="str">
        <f>IF(LOOKUP($A77,original!$AE:$AE,original!E:E)=0,"",LOOKUP($A77,original!$AE:$AE,original!E:E))</f>
        <v>CA</v>
      </c>
      <c r="K77">
        <f>LOOKUP($A77,original!$AE:$AE,original!M:M)</f>
        <v>2</v>
      </c>
      <c r="M77" t="b">
        <v>0</v>
      </c>
    </row>
    <row r="78" spans="1:13">
      <c r="A78" s="70">
        <v>37841836</v>
      </c>
      <c r="B78" s="71">
        <v>2</v>
      </c>
      <c r="C78" s="71">
        <v>2</v>
      </c>
      <c r="D78" s="70"/>
      <c r="E78" t="str">
        <f>LOOKUP($A78,original!$AE:$AE,original!H:H)</f>
        <v>wister@gmail.com</v>
      </c>
      <c r="F78" t="str">
        <f>LOOKUP($A78,original!$AE:$AE,original!A:A)</f>
        <v>Wister</v>
      </c>
      <c r="G78" t="str">
        <f>LOOKUP($A78,original!$AE:$AE,original!B:B)</f>
        <v>Walcott</v>
      </c>
      <c r="H78" t="str">
        <f>LOOKUP($A78,original!$AE:$AE,original!G:G)</f>
        <v>415-867-6799</v>
      </c>
      <c r="I78" t="str">
        <f>IF(LOOKUP($A78,original!$AE:$AE,original!D:D)=0,"",LOOKUP($A78,original!$AE:$AE,original!D:D))</f>
        <v>San Francisco</v>
      </c>
      <c r="J78" t="str">
        <f>IF(LOOKUP($A78,original!$AE:$AE,original!E:E)=0,"",LOOKUP($A78,original!$AE:$AE,original!E:E))</f>
        <v>CA</v>
      </c>
      <c r="K78">
        <f>LOOKUP($A78,original!$AE:$AE,original!M:M)</f>
        <v>2</v>
      </c>
      <c r="M78" t="b">
        <v>1</v>
      </c>
    </row>
    <row r="79" spans="1:13">
      <c r="A79" s="70">
        <v>37847586</v>
      </c>
      <c r="B79" s="71">
        <v>2</v>
      </c>
      <c r="C79" s="71">
        <v>2</v>
      </c>
      <c r="D79" s="70"/>
      <c r="E79" t="str">
        <f>LOOKUP($A79,original!$AE:$AE,original!H:H)</f>
        <v>matthewwalexander@gmail.com</v>
      </c>
      <c r="F79" t="str">
        <f>LOOKUP($A79,original!$AE:$AE,original!A:A)</f>
        <v>Matt</v>
      </c>
      <c r="G79" t="str">
        <f>LOOKUP($A79,original!$AE:$AE,original!B:B)</f>
        <v>Alexander</v>
      </c>
      <c r="H79" t="str">
        <f>LOOKUP($A79,original!$AE:$AE,original!G:G)</f>
        <v>650-223-5995</v>
      </c>
      <c r="I79" t="str">
        <f>IF(LOOKUP($A79,original!$AE:$AE,original!D:D)=0,"",LOOKUP($A79,original!$AE:$AE,original!D:D))</f>
        <v>Truckee</v>
      </c>
      <c r="J79" t="str">
        <f>IF(LOOKUP($A79,original!$AE:$AE,original!E:E)=0,"",LOOKUP($A79,original!$AE:$AE,original!E:E))</f>
        <v>CA</v>
      </c>
      <c r="K79">
        <f>LOOKUP($A79,original!$AE:$AE,original!M:M)</f>
        <v>2</v>
      </c>
      <c r="M79" t="b">
        <v>0</v>
      </c>
    </row>
    <row r="80" spans="1:13">
      <c r="A80" s="70">
        <v>38329497</v>
      </c>
      <c r="B80" s="71">
        <v>2</v>
      </c>
      <c r="C80" s="71">
        <v>2</v>
      </c>
      <c r="D80" s="70"/>
      <c r="E80" t="str">
        <f>LOOKUP($A80,original!$AE:$AE,original!H:H)</f>
        <v>dyoungsmith@gmail.com</v>
      </c>
      <c r="F80" t="str">
        <f>LOOKUP($A80,original!$AE:$AE,original!A:A)</f>
        <v>Danielle</v>
      </c>
      <c r="G80" t="str">
        <f>LOOKUP($A80,original!$AE:$AE,original!B:B)</f>
        <v>YoungSmith</v>
      </c>
      <c r="H80" t="str">
        <f>LOOKUP($A80,original!$AE:$AE,original!G:G)</f>
        <v>720-210-7930</v>
      </c>
      <c r="I80" t="str">
        <f>IF(LOOKUP($A80,original!$AE:$AE,original!D:D)=0,"",LOOKUP($A80,original!$AE:$AE,original!D:D))</f>
        <v>Truckee</v>
      </c>
      <c r="J80" t="str">
        <f>IF(LOOKUP($A80,original!$AE:$AE,original!E:E)=0,"",LOOKUP($A80,original!$AE:$AE,original!E:E))</f>
        <v>CA</v>
      </c>
      <c r="K80">
        <f>LOOKUP($A80,original!$AE:$AE,original!M:M)</f>
        <v>2</v>
      </c>
      <c r="M80" t="b">
        <v>0</v>
      </c>
    </row>
    <row r="81" spans="1:13">
      <c r="A81" s="70">
        <v>38777112</v>
      </c>
      <c r="B81" s="71">
        <v>2</v>
      </c>
      <c r="C81" s="71">
        <v>2</v>
      </c>
      <c r="D81" s="70"/>
      <c r="E81" t="str">
        <f>LOOKUP($A81,original!$AE:$AE,original!H:H)</f>
        <v>stevenpong@gmail.com</v>
      </c>
      <c r="F81" t="str">
        <f>LOOKUP($A81,original!$AE:$AE,original!A:A)</f>
        <v>Steven</v>
      </c>
      <c r="G81" t="str">
        <f>LOOKUP($A81,original!$AE:$AE,original!B:B)</f>
        <v>Pong</v>
      </c>
      <c r="H81" t="str">
        <f>LOOKUP($A81,original!$AE:$AE,original!G:G)</f>
        <v>646-708-3782</v>
      </c>
      <c r="I81" t="str">
        <f>IF(LOOKUP($A81,original!$AE:$AE,original!D:D)=0,"",LOOKUP($A81,original!$AE:$AE,original!D:D))</f>
        <v>Oakland</v>
      </c>
      <c r="J81" t="str">
        <f>IF(LOOKUP($A81,original!$AE:$AE,original!E:E)=0,"",LOOKUP($A81,original!$AE:$AE,original!E:E))</f>
        <v>CA</v>
      </c>
      <c r="K81">
        <f>LOOKUP($A81,original!$AE:$AE,original!M:M)</f>
        <v>2</v>
      </c>
      <c r="M81" t="b">
        <v>0</v>
      </c>
    </row>
    <row r="82" spans="1:13">
      <c r="A82" s="70">
        <v>38833183</v>
      </c>
      <c r="B82" s="71">
        <v>3</v>
      </c>
      <c r="C82" s="71">
        <v>3</v>
      </c>
      <c r="D82" s="70"/>
      <c r="E82" t="str">
        <f>LOOKUP($A82,original!$AE:$AE,original!H:H)</f>
        <v>janv1992@gmail.com</v>
      </c>
      <c r="F82" t="str">
        <f>LOOKUP($A82,original!$AE:$AE,original!A:A)</f>
        <v>Jan</v>
      </c>
      <c r="G82" t="str">
        <f>LOOKUP($A82,original!$AE:$AE,original!B:B)</f>
        <v>Vanous</v>
      </c>
      <c r="H82" t="str">
        <f>LOOKUP($A82,original!$AE:$AE,original!G:G)</f>
        <v>301-801-6748</v>
      </c>
      <c r="I82" t="str">
        <f>IF(LOOKUP($A82,original!$AE:$AE,original!D:D)=0,"",LOOKUP($A82,original!$AE:$AE,original!D:D))</f>
        <v>San Francisco</v>
      </c>
      <c r="J82" t="str">
        <f>IF(LOOKUP($A82,original!$AE:$AE,original!E:E)=0,"",LOOKUP($A82,original!$AE:$AE,original!E:E))</f>
        <v>CA</v>
      </c>
      <c r="K82">
        <f>LOOKUP($A82,original!$AE:$AE,original!M:M)</f>
        <v>3</v>
      </c>
      <c r="M82" t="b">
        <v>0</v>
      </c>
    </row>
    <row r="83" spans="1:13">
      <c r="A83" s="70">
        <v>39288456</v>
      </c>
      <c r="B83" s="71">
        <v>1</v>
      </c>
      <c r="C83" s="71">
        <v>1</v>
      </c>
      <c r="D83" s="70"/>
      <c r="E83" t="str">
        <f>LOOKUP($A83,original!$AE:$AE,original!H:H)</f>
        <v>clewis8255@gmail.com</v>
      </c>
      <c r="F83" t="str">
        <f>LOOKUP($A83,original!$AE:$AE,original!A:A)</f>
        <v>Chris</v>
      </c>
      <c r="G83" t="str">
        <f>LOOKUP($A83,original!$AE:$AE,original!B:B)</f>
        <v>Lewis</v>
      </c>
      <c r="H83" t="str">
        <f>LOOKUP($A83,original!$AE:$AE,original!G:G)</f>
        <v>530-370-6424</v>
      </c>
      <c r="I83" t="str">
        <f>IF(LOOKUP($A83,original!$AE:$AE,original!D:D)=0,"",LOOKUP($A83,original!$AE:$AE,original!D:D))</f>
        <v>Chico</v>
      </c>
      <c r="J83" t="str">
        <f>IF(LOOKUP($A83,original!$AE:$AE,original!E:E)=0,"",LOOKUP($A83,original!$AE:$AE,original!E:E))</f>
        <v>CA</v>
      </c>
      <c r="K83">
        <f>LOOKUP($A83,original!$AE:$AE,original!M:M)</f>
        <v>1</v>
      </c>
      <c r="M83" t="b">
        <v>0</v>
      </c>
    </row>
    <row r="84" spans="1:13">
      <c r="A84" s="70">
        <v>39800422</v>
      </c>
      <c r="B84" s="71">
        <v>2</v>
      </c>
      <c r="C84" s="71">
        <v>2</v>
      </c>
      <c r="D84" s="70"/>
      <c r="E84" t="str">
        <f>LOOKUP($A84,original!$AE:$AE,original!H:H)</f>
        <v>Alexwnewcomb@gmail.com</v>
      </c>
      <c r="F84" t="str">
        <f>LOOKUP($A84,original!$AE:$AE,original!A:A)</f>
        <v>Alex</v>
      </c>
      <c r="G84" t="str">
        <f>LOOKUP($A84,original!$AE:$AE,original!B:B)</f>
        <v>Newcomb</v>
      </c>
      <c r="H84" t="str">
        <f>LOOKUP($A84,original!$AE:$AE,original!G:G)</f>
        <v>916-502-1101</v>
      </c>
      <c r="I84" t="str">
        <f>IF(LOOKUP($A84,original!$AE:$AE,original!D:D)=0,"",LOOKUP($A84,original!$AE:$AE,original!D:D))</f>
        <v>Sacramento</v>
      </c>
      <c r="J84" t="str">
        <f>IF(LOOKUP($A84,original!$AE:$AE,original!E:E)=0,"",LOOKUP($A84,original!$AE:$AE,original!E:E))</f>
        <v>CA</v>
      </c>
      <c r="K84">
        <f>LOOKUP($A84,original!$AE:$AE,original!M:M)</f>
        <v>2</v>
      </c>
      <c r="M84" t="b">
        <v>0</v>
      </c>
    </row>
    <row r="85" spans="1:13">
      <c r="A85" s="70">
        <v>39800454</v>
      </c>
      <c r="B85" s="71">
        <v>2</v>
      </c>
      <c r="C85" s="71">
        <v>2</v>
      </c>
      <c r="D85" s="70"/>
      <c r="E85" t="str">
        <f>LOOKUP($A85,original!$AE:$AE,original!H:H)</f>
        <v>alexgovaerts@hotmail.com</v>
      </c>
      <c r="F85" t="str">
        <f>LOOKUP($A85,original!$AE:$AE,original!A:A)</f>
        <v>Alex</v>
      </c>
      <c r="G85" t="str">
        <f>LOOKUP($A85,original!$AE:$AE,original!B:B)</f>
        <v>Govaerts</v>
      </c>
      <c r="H85" t="str">
        <f>LOOKUP($A85,original!$AE:$AE,original!G:G)</f>
        <v>415-610-1754</v>
      </c>
      <c r="I85" t="str">
        <f>IF(LOOKUP($A85,original!$AE:$AE,original!D:D)=0,"",LOOKUP($A85,original!$AE:$AE,original!D:D))</f>
        <v>San Francisco</v>
      </c>
      <c r="J85" t="str">
        <f>IF(LOOKUP($A85,original!$AE:$AE,original!E:E)=0,"",LOOKUP($A85,original!$AE:$AE,original!E:E))</f>
        <v>CA</v>
      </c>
      <c r="K85">
        <f>LOOKUP($A85,original!$AE:$AE,original!M:M)</f>
        <v>2</v>
      </c>
      <c r="M85" t="b">
        <v>0</v>
      </c>
    </row>
    <row r="86" spans="1:13">
      <c r="A86" s="70">
        <v>40395911</v>
      </c>
      <c r="B86" s="71">
        <v>2</v>
      </c>
      <c r="C86" s="71">
        <v>2</v>
      </c>
      <c r="D86" s="70"/>
      <c r="E86" t="str">
        <f>LOOKUP($A86,original!$AE:$AE,original!H:H)</f>
        <v>roryoneill6@gmail.com</v>
      </c>
      <c r="F86" t="str">
        <f>LOOKUP($A86,original!$AE:$AE,original!A:A)</f>
        <v>Rory</v>
      </c>
      <c r="G86" t="str">
        <f>LOOKUP($A86,original!$AE:$AE,original!B:B)</f>
        <v>O'Neill</v>
      </c>
      <c r="H86" t="str">
        <f>LOOKUP($A86,original!$AE:$AE,original!G:G)</f>
        <v>240-705-4959</v>
      </c>
      <c r="I86" t="str">
        <f>IF(LOOKUP($A86,original!$AE:$AE,original!D:D)=0,"",LOOKUP($A86,original!$AE:$AE,original!D:D))</f>
        <v>Oakland</v>
      </c>
      <c r="J86" t="str">
        <f>IF(LOOKUP($A86,original!$AE:$AE,original!E:E)=0,"",LOOKUP($A86,original!$AE:$AE,original!E:E))</f>
        <v>CA</v>
      </c>
      <c r="K86">
        <f>LOOKUP($A86,original!$AE:$AE,original!M:M)</f>
        <v>2</v>
      </c>
      <c r="M86" t="b">
        <v>0</v>
      </c>
    </row>
    <row r="87" spans="1:13">
      <c r="A87" s="70" t="s">
        <v>571</v>
      </c>
      <c r="B87" s="71"/>
      <c r="C87" s="71"/>
      <c r="D87" s="70"/>
    </row>
    <row r="88" spans="1:13">
      <c r="A88" s="70" t="s">
        <v>572</v>
      </c>
      <c r="B88" s="71"/>
      <c r="C88" s="71"/>
      <c r="D88" s="70"/>
    </row>
    <row r="89" spans="1:13">
      <c r="A89" s="70" t="s">
        <v>573</v>
      </c>
      <c r="B89" s="71">
        <v>14</v>
      </c>
      <c r="C89" s="71">
        <v>1</v>
      </c>
      <c r="D89" s="7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T92"/>
  <sheetViews>
    <sheetView zoomScale="110" zoomScaleNormal="131" workbookViewId="0">
      <selection activeCell="A3" sqref="A3"/>
    </sheetView>
  </sheetViews>
  <sheetFormatPr defaultColWidth="10.796875" defaultRowHeight="11.5"/>
  <cols>
    <col min="1" max="1" width="9.19921875" style="4" bestFit="1" customWidth="1"/>
    <col min="2" max="2" width="12.296875" style="4" customWidth="1"/>
    <col min="3" max="4" width="17.19921875" style="4" hidden="1" customWidth="1"/>
    <col min="5" max="5" width="3.296875" style="4" hidden="1" customWidth="1"/>
    <col min="6" max="6" width="8" style="5" hidden="1" customWidth="1"/>
    <col min="7" max="7" width="13.5" style="51" customWidth="1"/>
    <col min="8" max="8" width="27.296875" style="6" bestFit="1" customWidth="1"/>
    <col min="9" max="9" width="6.5" style="5" customWidth="1"/>
    <col min="10" max="10" width="10.796875" style="7" bestFit="1" customWidth="1"/>
    <col min="11" max="11" width="4.796875" style="5" customWidth="1"/>
    <col min="12" max="12" width="9.765625E-2" style="5" customWidth="1"/>
    <col min="13" max="13" width="6.296875" style="5" bestFit="1" customWidth="1"/>
    <col min="14" max="14" width="31" style="6" customWidth="1"/>
    <col min="15" max="15" width="3.69921875" style="8" bestFit="1" customWidth="1"/>
    <col min="16" max="16" width="7.19921875" style="8" bestFit="1" customWidth="1"/>
    <col min="17" max="17" width="13.796875" style="8" bestFit="1" customWidth="1"/>
    <col min="18" max="18" width="4.19921875" style="8" bestFit="1" customWidth="1"/>
    <col min="19" max="19" width="3.69921875" style="8" bestFit="1" customWidth="1"/>
    <col min="20" max="20" width="3.296875" style="8" bestFit="1" customWidth="1"/>
    <col min="21" max="21" width="4" style="8" bestFit="1" customWidth="1"/>
    <col min="22" max="22" width="3.5" style="8" bestFit="1" customWidth="1"/>
    <col min="23" max="23" width="4" style="8" bestFit="1" customWidth="1"/>
    <col min="24" max="24" width="4.69921875" style="8" bestFit="1" customWidth="1"/>
    <col min="25" max="25" width="4.19921875" style="8" bestFit="1" customWidth="1"/>
    <col min="26" max="26" width="7.69921875" style="8" customWidth="1"/>
    <col min="27" max="27" width="6.5" style="8" bestFit="1" customWidth="1"/>
    <col min="28" max="28" width="6.5" style="8" customWidth="1"/>
    <col min="29" max="29" width="5.69921875" style="8" bestFit="1" customWidth="1"/>
    <col min="30" max="30" width="10.796875" style="5"/>
    <col min="31" max="31" width="14.796875" style="5" customWidth="1"/>
    <col min="32" max="34" width="10.796875" style="5"/>
    <col min="35" max="16384" width="10.796875" style="4"/>
  </cols>
  <sheetData>
    <row r="1" spans="1:46" s="1" customFormat="1">
      <c r="A1" s="59" t="s">
        <v>1</v>
      </c>
      <c r="B1" s="59" t="s">
        <v>5</v>
      </c>
      <c r="C1" s="59" t="s">
        <v>8</v>
      </c>
      <c r="D1" s="59" t="s">
        <v>9</v>
      </c>
      <c r="E1" s="59" t="s">
        <v>10</v>
      </c>
      <c r="F1" s="59" t="s">
        <v>11</v>
      </c>
      <c r="G1" s="62" t="s">
        <v>0</v>
      </c>
      <c r="H1" s="59" t="s">
        <v>6</v>
      </c>
      <c r="I1" s="1" t="s">
        <v>13</v>
      </c>
      <c r="J1" s="2" t="s">
        <v>7</v>
      </c>
      <c r="K1" s="1" t="s">
        <v>4</v>
      </c>
      <c r="L1" s="1" t="s">
        <v>2</v>
      </c>
      <c r="M1" s="1" t="s">
        <v>12</v>
      </c>
      <c r="N1" s="1" t="s">
        <v>3</v>
      </c>
      <c r="O1" s="3" t="s">
        <v>418</v>
      </c>
      <c r="P1" s="3" t="s">
        <v>553</v>
      </c>
      <c r="Q1" s="3" t="s">
        <v>419</v>
      </c>
      <c r="R1" s="3" t="s">
        <v>420</v>
      </c>
      <c r="S1" s="60" t="s">
        <v>13</v>
      </c>
      <c r="T1" s="60" t="s">
        <v>424</v>
      </c>
      <c r="U1" s="60" t="s">
        <v>440</v>
      </c>
      <c r="V1" s="60" t="s">
        <v>425</v>
      </c>
      <c r="W1" s="60" t="s">
        <v>439</v>
      </c>
      <c r="X1" s="60" t="s">
        <v>426</v>
      </c>
      <c r="Y1" s="60" t="s">
        <v>428</v>
      </c>
      <c r="Z1" s="60" t="s">
        <v>554</v>
      </c>
      <c r="AA1" s="60" t="s">
        <v>421</v>
      </c>
      <c r="AB1" s="3" t="s">
        <v>430</v>
      </c>
      <c r="AC1" s="3" t="s">
        <v>422</v>
      </c>
      <c r="AD1" s="1" t="s">
        <v>525</v>
      </c>
      <c r="AE1" s="4" t="s">
        <v>566</v>
      </c>
      <c r="AF1" s="4" t="s">
        <v>567</v>
      </c>
      <c r="AG1" s="4" t="s">
        <v>568</v>
      </c>
      <c r="AH1" s="4" t="s">
        <v>569</v>
      </c>
      <c r="AI1" s="5" t="s">
        <v>570</v>
      </c>
      <c r="AJ1" s="8" t="s">
        <v>555</v>
      </c>
      <c r="AK1" s="6" t="s">
        <v>556</v>
      </c>
      <c r="AL1" s="5" t="s">
        <v>557</v>
      </c>
      <c r="AM1" s="5" t="s">
        <v>558</v>
      </c>
      <c r="AN1" s="5" t="s">
        <v>559</v>
      </c>
      <c r="AO1" s="5" t="s">
        <v>560</v>
      </c>
      <c r="AP1" s="5" t="s">
        <v>561</v>
      </c>
      <c r="AQ1" s="5" t="s">
        <v>562</v>
      </c>
      <c r="AR1" s="7" t="s">
        <v>563</v>
      </c>
      <c r="AS1" s="5" t="s">
        <v>564</v>
      </c>
      <c r="AT1" s="5" t="s">
        <v>565</v>
      </c>
    </row>
    <row r="2" spans="1:46" s="5" customFormat="1" ht="12" thickBot="1">
      <c r="A2" s="13" t="s">
        <v>63</v>
      </c>
      <c r="B2" s="13" t="s">
        <v>64</v>
      </c>
      <c r="C2" s="4"/>
      <c r="D2" s="4" t="s">
        <v>36</v>
      </c>
      <c r="E2" s="4" t="s">
        <v>27</v>
      </c>
      <c r="G2" s="51" t="s">
        <v>77</v>
      </c>
      <c r="H2" s="16" t="s">
        <v>88</v>
      </c>
      <c r="I2" s="5" t="s">
        <v>97</v>
      </c>
      <c r="J2" s="7" t="s">
        <v>98</v>
      </c>
      <c r="K2" s="5">
        <v>2</v>
      </c>
      <c r="L2" s="5">
        <v>1</v>
      </c>
      <c r="M2" s="5">
        <f>K2*L2</f>
        <v>2</v>
      </c>
      <c r="N2" s="6"/>
      <c r="O2" s="8"/>
      <c r="P2" s="8"/>
      <c r="Q2" s="8" t="s">
        <v>501</v>
      </c>
      <c r="R2" s="8">
        <v>1</v>
      </c>
      <c r="S2" s="8" t="s">
        <v>30</v>
      </c>
      <c r="T2" s="8">
        <v>26</v>
      </c>
      <c r="U2" s="8">
        <v>2</v>
      </c>
      <c r="V2" s="8">
        <v>7</v>
      </c>
      <c r="W2" s="8">
        <v>26</v>
      </c>
      <c r="X2" s="8">
        <v>2</v>
      </c>
      <c r="Y2" s="8">
        <v>8</v>
      </c>
      <c r="Z2" s="8">
        <f>1000*(W2-T2)+100*(X2-U2)+(Y2-V2)</f>
        <v>1</v>
      </c>
      <c r="AA2" s="8">
        <v>9</v>
      </c>
      <c r="AB2" s="8" t="s">
        <v>496</v>
      </c>
      <c r="AC2" s="8" t="s">
        <v>523</v>
      </c>
      <c r="AE2" s="5">
        <f t="shared" ref="AE2:AE33" si="0">(CODE(MID(H2,1,1))-43)+(CODE(MID(H2,2,1))-43)*80+(CODE(MID(H2,3,1))-43)*80*80+(CODE(MID(H2,4,1))-43)*80*80*80</f>
        <v>1962792</v>
      </c>
      <c r="AF2" s="5" t="b">
        <f>OR($S2="BEN",NOT(ISERROR(SEARCH("H",$AB2))))</f>
        <v>1</v>
      </c>
      <c r="AG2" s="5" t="b">
        <f>OR($S2="BRA",NOT(ISERROR(SEARCH("H",$AB2))))</f>
        <v>1</v>
      </c>
      <c r="AH2" s="5" t="b">
        <f>OR($S2="PGH",NOT(ISERROR(SEARCH("H",$AB2))))</f>
        <v>1</v>
      </c>
      <c r="AI2" s="5" t="b">
        <f>OR($S2="LUD",NOT(ISERROR(SEARCH("H",$AB2))))</f>
        <v>1</v>
      </c>
      <c r="AJ2" s="68">
        <f t="shared" ref="AJ2:AJ33" si="1">DATE(T2+2000,U2,V2)</f>
        <v>44598</v>
      </c>
      <c r="AK2" s="68">
        <f t="shared" ref="AK2:AK33" si="2">DATE(2000+W2,X2,Y2)</f>
        <v>44599</v>
      </c>
      <c r="AL2" s="5">
        <f>VALUE(RIGHT(R2,1))</f>
        <v>1</v>
      </c>
      <c r="AM2" s="5">
        <f t="shared" ref="AM2:AM33" si="3">AA2</f>
        <v>9</v>
      </c>
      <c r="AN2" s="4">
        <f>IF(ISERROR(SEARCH("N",$AB2)),AM2,MAX(AM2-4,4))</f>
        <v>9</v>
      </c>
      <c r="AO2" s="4"/>
      <c r="AP2" s="4"/>
      <c r="AQ2" s="4"/>
      <c r="AR2" s="4"/>
      <c r="AS2" s="4"/>
      <c r="AT2" s="4"/>
    </row>
    <row r="3" spans="1:46" ht="12" thickBot="1">
      <c r="A3" s="31" t="s">
        <v>226</v>
      </c>
      <c r="B3" s="31" t="s">
        <v>210</v>
      </c>
      <c r="C3" s="4" t="s">
        <v>229</v>
      </c>
      <c r="D3" s="4" t="s">
        <v>32</v>
      </c>
      <c r="E3" s="4" t="s">
        <v>27</v>
      </c>
      <c r="F3" s="5">
        <v>94121</v>
      </c>
      <c r="G3" s="51" t="s">
        <v>227</v>
      </c>
      <c r="H3" s="12" t="s">
        <v>228</v>
      </c>
      <c r="I3" s="5" t="s">
        <v>133</v>
      </c>
      <c r="J3" s="7" t="s">
        <v>216</v>
      </c>
      <c r="K3" s="5">
        <v>2</v>
      </c>
      <c r="L3" s="5">
        <v>1</v>
      </c>
      <c r="M3" s="5">
        <f>K3*L3</f>
        <v>2</v>
      </c>
      <c r="Q3" s="8" t="s">
        <v>437</v>
      </c>
      <c r="R3" s="8">
        <v>3</v>
      </c>
      <c r="S3" s="8" t="s">
        <v>97</v>
      </c>
      <c r="T3" s="8">
        <v>26</v>
      </c>
      <c r="U3" s="8">
        <v>1</v>
      </c>
      <c r="V3" s="8">
        <v>17</v>
      </c>
      <c r="W3" s="8">
        <v>26</v>
      </c>
      <c r="X3" s="8">
        <v>1</v>
      </c>
      <c r="Y3" s="8">
        <v>19</v>
      </c>
      <c r="Z3" s="8">
        <f>1000*(W3-T3)+100*(X3-U3)+(Y3-V3)</f>
        <v>2</v>
      </c>
      <c r="AA3" s="8">
        <v>6</v>
      </c>
      <c r="AB3" s="8" t="s">
        <v>427</v>
      </c>
      <c r="AC3" s="8" t="s">
        <v>523</v>
      </c>
      <c r="AE3" s="5">
        <f t="shared" si="0"/>
        <v>1969495</v>
      </c>
      <c r="AF3" s="5" t="b">
        <f t="shared" ref="AF3:AF66" si="4">OR($S3="BEN",NOT(ISERROR(SEARCH("H",$AB3))))</f>
        <v>0</v>
      </c>
      <c r="AG3" s="5" t="b">
        <f t="shared" ref="AG3:AG66" si="5">OR($S3="BRA",NOT(ISERROR(SEARCH("H",$AB3))))</f>
        <v>0</v>
      </c>
      <c r="AH3" s="5" t="b">
        <f t="shared" ref="AH3:AH66" si="6">OR($S3="PGH",NOT(ISERROR(SEARCH("H",$AB3))))</f>
        <v>1</v>
      </c>
      <c r="AI3" s="5" t="b">
        <f t="shared" ref="AI3:AI66" si="7">OR($S3="LUD",NOT(ISERROR(SEARCH("H",$AB3))))</f>
        <v>0</v>
      </c>
      <c r="AJ3" s="68">
        <f t="shared" si="1"/>
        <v>44577</v>
      </c>
      <c r="AK3" s="68">
        <f t="shared" si="2"/>
        <v>44579</v>
      </c>
      <c r="AL3" s="5">
        <f t="shared" ref="AL3:AL66" si="8">VALUE(RIGHT(R3,1))</f>
        <v>3</v>
      </c>
      <c r="AM3" s="5">
        <f t="shared" si="3"/>
        <v>6</v>
      </c>
      <c r="AN3" s="4">
        <f t="shared" ref="AN3:AN66" si="9">IF(ISERROR(SEARCH("N",$AB3)),AM3,MAX(AM3-4,4))</f>
        <v>6</v>
      </c>
    </row>
    <row r="4" spans="1:46" ht="12" thickBot="1">
      <c r="A4" s="48" t="s">
        <v>49</v>
      </c>
      <c r="B4" s="48" t="s">
        <v>53</v>
      </c>
      <c r="C4" s="39" t="s">
        <v>50</v>
      </c>
      <c r="D4" s="39" t="s">
        <v>51</v>
      </c>
      <c r="E4" s="39" t="s">
        <v>27</v>
      </c>
      <c r="F4" s="40"/>
      <c r="G4" s="64" t="s">
        <v>52</v>
      </c>
      <c r="H4" s="44" t="s">
        <v>413</v>
      </c>
      <c r="I4" s="40" t="s">
        <v>30</v>
      </c>
      <c r="J4" s="43" t="s">
        <v>31</v>
      </c>
      <c r="K4" s="40">
        <v>2</v>
      </c>
      <c r="L4" s="40">
        <v>1</v>
      </c>
      <c r="M4" s="40">
        <v>2</v>
      </c>
      <c r="N4" s="42"/>
      <c r="O4" s="41"/>
      <c r="P4" s="41"/>
      <c r="Q4" s="41" t="s">
        <v>508</v>
      </c>
      <c r="R4" s="41">
        <v>1</v>
      </c>
      <c r="S4" s="41" t="s">
        <v>30</v>
      </c>
      <c r="T4" s="41">
        <v>26</v>
      </c>
      <c r="U4" s="41">
        <v>3</v>
      </c>
      <c r="V4" s="41">
        <v>13</v>
      </c>
      <c r="W4" s="41">
        <v>26</v>
      </c>
      <c r="X4" s="41">
        <v>3</v>
      </c>
      <c r="Y4" s="41">
        <v>14</v>
      </c>
      <c r="Z4" s="41">
        <f>1000*(W4-T4)+100*(X4-U4)+(Y4-V4)</f>
        <v>1</v>
      </c>
      <c r="AA4" s="41">
        <v>12</v>
      </c>
      <c r="AB4" s="41"/>
      <c r="AC4" s="41" t="s">
        <v>523</v>
      </c>
      <c r="AE4" s="5">
        <f t="shared" si="0"/>
        <v>1975905</v>
      </c>
      <c r="AF4" s="5" t="b">
        <f t="shared" si="4"/>
        <v>1</v>
      </c>
      <c r="AG4" s="5" t="b">
        <f t="shared" si="5"/>
        <v>0</v>
      </c>
      <c r="AH4" s="5" t="b">
        <f t="shared" si="6"/>
        <v>0</v>
      </c>
      <c r="AI4" s="5" t="b">
        <f t="shared" si="7"/>
        <v>0</v>
      </c>
      <c r="AJ4" s="68">
        <f t="shared" si="1"/>
        <v>44632</v>
      </c>
      <c r="AK4" s="68">
        <f t="shared" si="2"/>
        <v>44633</v>
      </c>
      <c r="AL4" s="5">
        <f t="shared" si="8"/>
        <v>1</v>
      </c>
      <c r="AM4" s="5">
        <f t="shared" si="3"/>
        <v>12</v>
      </c>
      <c r="AN4" s="4">
        <f t="shared" si="9"/>
        <v>12</v>
      </c>
    </row>
    <row r="5" spans="1:46" ht="13" customHeight="1">
      <c r="A5" s="78" t="s">
        <v>49</v>
      </c>
      <c r="B5" s="78" t="s">
        <v>53</v>
      </c>
      <c r="C5" s="39" t="s">
        <v>50</v>
      </c>
      <c r="D5" s="39" t="s">
        <v>51</v>
      </c>
      <c r="E5" s="39" t="s">
        <v>27</v>
      </c>
      <c r="F5" s="40"/>
      <c r="G5" s="81" t="s">
        <v>52</v>
      </c>
      <c r="H5" s="86" t="s">
        <v>413</v>
      </c>
      <c r="I5" s="40" t="s">
        <v>30</v>
      </c>
      <c r="J5" s="43" t="s">
        <v>31</v>
      </c>
      <c r="K5" s="40">
        <v>2</v>
      </c>
      <c r="L5" s="40">
        <v>1</v>
      </c>
      <c r="M5" s="40">
        <v>2</v>
      </c>
      <c r="N5" s="42"/>
      <c r="O5" s="41"/>
      <c r="P5" s="41"/>
      <c r="Q5" s="41" t="s">
        <v>508</v>
      </c>
      <c r="R5" s="41">
        <v>1</v>
      </c>
      <c r="S5" s="41" t="s">
        <v>133</v>
      </c>
      <c r="T5" s="41">
        <v>26</v>
      </c>
      <c r="U5" s="41">
        <v>3</v>
      </c>
      <c r="V5" s="41">
        <v>14</v>
      </c>
      <c r="W5" s="41">
        <v>26</v>
      </c>
      <c r="X5" s="41">
        <v>3</v>
      </c>
      <c r="Y5" s="41">
        <v>15</v>
      </c>
      <c r="Z5" s="41">
        <f>1000*(W5-T5)+100*(X5-U5)+(Y5-V5)</f>
        <v>1</v>
      </c>
      <c r="AA5" s="41">
        <v>15</v>
      </c>
      <c r="AB5" s="41"/>
      <c r="AC5" s="41" t="s">
        <v>523</v>
      </c>
      <c r="AE5" s="5">
        <f t="shared" si="0"/>
        <v>1975905</v>
      </c>
      <c r="AF5" s="5" t="b">
        <f t="shared" si="4"/>
        <v>0</v>
      </c>
      <c r="AG5" s="5" t="b">
        <f t="shared" si="5"/>
        <v>1</v>
      </c>
      <c r="AH5" s="5" t="b">
        <f t="shared" si="6"/>
        <v>0</v>
      </c>
      <c r="AI5" s="5" t="b">
        <f t="shared" si="7"/>
        <v>0</v>
      </c>
      <c r="AJ5" s="68">
        <f t="shared" si="1"/>
        <v>44633</v>
      </c>
      <c r="AK5" s="68">
        <f t="shared" si="2"/>
        <v>44634</v>
      </c>
      <c r="AL5" s="5">
        <f t="shared" si="8"/>
        <v>1</v>
      </c>
      <c r="AM5" s="5">
        <f t="shared" si="3"/>
        <v>15</v>
      </c>
      <c r="AN5" s="4">
        <f t="shared" si="9"/>
        <v>15</v>
      </c>
    </row>
    <row r="6" spans="1:46" ht="13" customHeight="1">
      <c r="A6" s="14" t="s">
        <v>55</v>
      </c>
      <c r="B6" s="14" t="s">
        <v>56</v>
      </c>
      <c r="C6" s="4" t="s">
        <v>103</v>
      </c>
      <c r="D6" s="4" t="s">
        <v>99</v>
      </c>
      <c r="E6" s="4" t="s">
        <v>27</v>
      </c>
      <c r="F6" s="5">
        <v>94306</v>
      </c>
      <c r="G6" s="33" t="s">
        <v>83</v>
      </c>
      <c r="H6" s="34" t="s">
        <v>84</v>
      </c>
      <c r="I6" s="5" t="s">
        <v>97</v>
      </c>
      <c r="J6" s="7" t="s">
        <v>98</v>
      </c>
      <c r="K6" s="5">
        <v>13</v>
      </c>
      <c r="L6" s="5">
        <v>1</v>
      </c>
      <c r="M6" s="5">
        <v>14</v>
      </c>
      <c r="N6" s="6" t="s">
        <v>202</v>
      </c>
      <c r="O6" s="8" t="s">
        <v>435</v>
      </c>
      <c r="P6" s="8" t="s">
        <v>436</v>
      </c>
      <c r="Q6" s="8" t="s">
        <v>434</v>
      </c>
      <c r="R6" s="8">
        <v>1</v>
      </c>
      <c r="S6" s="8" t="s">
        <v>97</v>
      </c>
      <c r="T6" s="8">
        <v>26</v>
      </c>
      <c r="U6" s="8">
        <v>1</v>
      </c>
      <c r="V6" s="8">
        <v>30</v>
      </c>
      <c r="W6" s="8">
        <v>26</v>
      </c>
      <c r="X6" s="8">
        <v>2</v>
      </c>
      <c r="Y6" s="8">
        <v>1</v>
      </c>
      <c r="Z6" s="8">
        <v>2</v>
      </c>
      <c r="AA6" s="8">
        <v>15</v>
      </c>
      <c r="AC6" s="8" t="s">
        <v>523</v>
      </c>
      <c r="AE6" s="5">
        <f t="shared" si="0"/>
        <v>2009181</v>
      </c>
      <c r="AF6" s="5" t="b">
        <f t="shared" si="4"/>
        <v>0</v>
      </c>
      <c r="AG6" s="5" t="b">
        <f t="shared" si="5"/>
        <v>0</v>
      </c>
      <c r="AH6" s="5" t="b">
        <f t="shared" si="6"/>
        <v>1</v>
      </c>
      <c r="AI6" s="5" t="b">
        <f t="shared" si="7"/>
        <v>0</v>
      </c>
      <c r="AJ6" s="68">
        <f t="shared" si="1"/>
        <v>44590</v>
      </c>
      <c r="AK6" s="68">
        <f t="shared" si="2"/>
        <v>44592</v>
      </c>
      <c r="AL6" s="5">
        <f t="shared" si="8"/>
        <v>1</v>
      </c>
      <c r="AM6" s="5">
        <f t="shared" si="3"/>
        <v>15</v>
      </c>
      <c r="AN6" s="4">
        <f t="shared" si="9"/>
        <v>15</v>
      </c>
      <c r="AO6" s="5"/>
      <c r="AP6" s="5"/>
      <c r="AQ6" s="5"/>
      <c r="AR6" s="5"/>
      <c r="AS6" s="5"/>
      <c r="AT6" s="5"/>
    </row>
    <row r="7" spans="1:46">
      <c r="A7" s="30" t="s">
        <v>333</v>
      </c>
      <c r="B7" s="30" t="s">
        <v>334</v>
      </c>
      <c r="C7" s="4" t="s">
        <v>367</v>
      </c>
      <c r="D7" s="4" t="s">
        <v>32</v>
      </c>
      <c r="E7" s="4" t="s">
        <v>27</v>
      </c>
      <c r="G7" s="51" t="s">
        <v>368</v>
      </c>
      <c r="H7" s="56" t="s">
        <v>347</v>
      </c>
      <c r="I7" s="5" t="s">
        <v>15</v>
      </c>
      <c r="J7" s="7" t="s">
        <v>252</v>
      </c>
      <c r="K7" s="5">
        <v>2</v>
      </c>
      <c r="L7" s="5">
        <v>1</v>
      </c>
      <c r="M7" s="5">
        <f t="shared" ref="M7:M16" si="10">K7*L7</f>
        <v>2</v>
      </c>
      <c r="Q7" s="8" t="s">
        <v>482</v>
      </c>
      <c r="R7" s="8">
        <v>4</v>
      </c>
      <c r="S7" s="8" t="s">
        <v>15</v>
      </c>
      <c r="T7" s="8">
        <v>26</v>
      </c>
      <c r="U7" s="8">
        <v>3</v>
      </c>
      <c r="V7" s="8">
        <v>6</v>
      </c>
      <c r="W7" s="8">
        <v>26</v>
      </c>
      <c r="X7" s="8">
        <v>3</v>
      </c>
      <c r="Y7" s="8">
        <v>8</v>
      </c>
      <c r="Z7" s="8">
        <f t="shared" ref="Z7:Z13" si="11">1000*(W7-T7)+100*(X7-U7)+(Y7-V7)</f>
        <v>2</v>
      </c>
      <c r="AA7" s="8">
        <v>15</v>
      </c>
      <c r="AC7" s="8" t="s">
        <v>523</v>
      </c>
      <c r="AE7" s="5">
        <f t="shared" si="0"/>
        <v>3147593</v>
      </c>
      <c r="AF7" s="5" t="b">
        <f t="shared" si="4"/>
        <v>0</v>
      </c>
      <c r="AG7" s="5" t="b">
        <f t="shared" si="5"/>
        <v>0</v>
      </c>
      <c r="AH7" s="5" t="b">
        <f t="shared" si="6"/>
        <v>0</v>
      </c>
      <c r="AI7" s="5" t="b">
        <f t="shared" si="7"/>
        <v>1</v>
      </c>
      <c r="AJ7" s="68">
        <f t="shared" si="1"/>
        <v>44625</v>
      </c>
      <c r="AK7" s="68">
        <f t="shared" si="2"/>
        <v>44627</v>
      </c>
      <c r="AL7" s="5">
        <f t="shared" si="8"/>
        <v>4</v>
      </c>
      <c r="AM7" s="5">
        <f t="shared" si="3"/>
        <v>15</v>
      </c>
      <c r="AN7" s="4">
        <f t="shared" si="9"/>
        <v>15</v>
      </c>
    </row>
    <row r="8" spans="1:46">
      <c r="A8" s="73" t="s">
        <v>104</v>
      </c>
      <c r="B8" s="73" t="s">
        <v>105</v>
      </c>
      <c r="C8" s="4" t="s">
        <v>108</v>
      </c>
      <c r="D8" s="4" t="s">
        <v>32</v>
      </c>
      <c r="E8" s="4" t="s">
        <v>27</v>
      </c>
      <c r="F8" s="5">
        <v>94129</v>
      </c>
      <c r="G8" s="15" t="s">
        <v>130</v>
      </c>
      <c r="H8" s="49" t="s">
        <v>106</v>
      </c>
      <c r="I8" s="5" t="s">
        <v>97</v>
      </c>
      <c r="J8" s="7" t="s">
        <v>107</v>
      </c>
      <c r="K8" s="5">
        <v>4</v>
      </c>
      <c r="L8" s="5">
        <v>1</v>
      </c>
      <c r="M8" s="5">
        <f t="shared" si="10"/>
        <v>4</v>
      </c>
      <c r="N8" s="6" t="s">
        <v>202</v>
      </c>
      <c r="O8" s="8" t="s">
        <v>435</v>
      </c>
      <c r="Q8" s="8" t="s">
        <v>469</v>
      </c>
      <c r="R8" s="8">
        <v>1</v>
      </c>
      <c r="S8" s="8" t="s">
        <v>30</v>
      </c>
      <c r="T8" s="8">
        <v>26</v>
      </c>
      <c r="U8" s="8">
        <v>1</v>
      </c>
      <c r="V8" s="8">
        <v>16</v>
      </c>
      <c r="W8" s="8">
        <v>26</v>
      </c>
      <c r="X8" s="8">
        <v>1</v>
      </c>
      <c r="Y8" s="8">
        <v>19</v>
      </c>
      <c r="Z8" s="8">
        <f t="shared" si="11"/>
        <v>3</v>
      </c>
      <c r="AA8" s="8">
        <v>12</v>
      </c>
      <c r="AB8" s="8" t="s">
        <v>466</v>
      </c>
      <c r="AC8" s="8" t="s">
        <v>523</v>
      </c>
      <c r="AE8" s="5">
        <f t="shared" si="0"/>
        <v>3486858</v>
      </c>
      <c r="AF8" s="5" t="b">
        <f t="shared" si="4"/>
        <v>1</v>
      </c>
      <c r="AG8" s="5" t="b">
        <f t="shared" si="5"/>
        <v>0</v>
      </c>
      <c r="AH8" s="5" t="b">
        <f t="shared" si="6"/>
        <v>0</v>
      </c>
      <c r="AI8" s="5" t="b">
        <f t="shared" si="7"/>
        <v>0</v>
      </c>
      <c r="AJ8" s="68">
        <f t="shared" si="1"/>
        <v>44576</v>
      </c>
      <c r="AK8" s="68">
        <f t="shared" si="2"/>
        <v>44579</v>
      </c>
      <c r="AL8" s="5">
        <f t="shared" si="8"/>
        <v>1</v>
      </c>
      <c r="AM8" s="5">
        <f t="shared" si="3"/>
        <v>12</v>
      </c>
      <c r="AN8" s="4">
        <f t="shared" si="9"/>
        <v>8</v>
      </c>
    </row>
    <row r="9" spans="1:46">
      <c r="A9" s="4" t="s">
        <v>114</v>
      </c>
      <c r="B9" s="4" t="s">
        <v>115</v>
      </c>
      <c r="C9" s="4" t="s">
        <v>116</v>
      </c>
      <c r="D9" s="4" t="s">
        <v>32</v>
      </c>
      <c r="E9" s="4" t="s">
        <v>27</v>
      </c>
      <c r="F9" s="5">
        <v>94110</v>
      </c>
      <c r="G9" s="51" t="s">
        <v>117</v>
      </c>
      <c r="H9" s="12" t="s">
        <v>129</v>
      </c>
      <c r="I9" s="5" t="s">
        <v>97</v>
      </c>
      <c r="J9" s="7" t="s">
        <v>107</v>
      </c>
      <c r="K9" s="5">
        <v>2</v>
      </c>
      <c r="L9" s="5">
        <v>1</v>
      </c>
      <c r="M9" s="5">
        <f t="shared" si="10"/>
        <v>2</v>
      </c>
      <c r="Q9" s="8" t="s">
        <v>462</v>
      </c>
      <c r="R9" s="8">
        <v>1</v>
      </c>
      <c r="S9" s="8" t="s">
        <v>97</v>
      </c>
      <c r="T9" s="8">
        <v>26</v>
      </c>
      <c r="U9" s="8">
        <v>1</v>
      </c>
      <c r="V9" s="8">
        <v>17</v>
      </c>
      <c r="W9" s="8">
        <v>26</v>
      </c>
      <c r="X9" s="8">
        <v>1</v>
      </c>
      <c r="Y9" s="8">
        <v>19</v>
      </c>
      <c r="Z9" s="8">
        <f t="shared" si="11"/>
        <v>2</v>
      </c>
      <c r="AA9" s="8">
        <v>6</v>
      </c>
      <c r="AC9" s="8" t="s">
        <v>523</v>
      </c>
      <c r="AE9" s="5">
        <f t="shared" si="0"/>
        <v>7212312</v>
      </c>
      <c r="AF9" s="5" t="b">
        <f t="shared" si="4"/>
        <v>0</v>
      </c>
      <c r="AG9" s="5" t="b">
        <f t="shared" si="5"/>
        <v>0</v>
      </c>
      <c r="AH9" s="5" t="b">
        <f t="shared" si="6"/>
        <v>1</v>
      </c>
      <c r="AI9" s="5" t="b">
        <f t="shared" si="7"/>
        <v>0</v>
      </c>
      <c r="AJ9" s="68">
        <f t="shared" si="1"/>
        <v>44577</v>
      </c>
      <c r="AK9" s="68">
        <f t="shared" si="2"/>
        <v>44579</v>
      </c>
      <c r="AL9" s="5">
        <f t="shared" si="8"/>
        <v>1</v>
      </c>
      <c r="AM9" s="5">
        <f t="shared" si="3"/>
        <v>6</v>
      </c>
      <c r="AN9" s="4">
        <f t="shared" si="9"/>
        <v>6</v>
      </c>
    </row>
    <row r="10" spans="1:46">
      <c r="A10" s="22" t="s">
        <v>203</v>
      </c>
      <c r="B10" s="22" t="s">
        <v>204</v>
      </c>
      <c r="C10" s="4" t="s">
        <v>311</v>
      </c>
      <c r="D10" s="4" t="s">
        <v>118</v>
      </c>
      <c r="E10" s="4" t="s">
        <v>27</v>
      </c>
      <c r="F10" s="5">
        <v>94062</v>
      </c>
      <c r="G10" s="51" t="s">
        <v>312</v>
      </c>
      <c r="H10" s="12" t="s">
        <v>217</v>
      </c>
      <c r="I10" s="5" t="s">
        <v>133</v>
      </c>
      <c r="J10" s="7" t="s">
        <v>216</v>
      </c>
      <c r="K10" s="5">
        <v>2</v>
      </c>
      <c r="L10" s="5">
        <v>1</v>
      </c>
      <c r="M10" s="5">
        <f t="shared" si="10"/>
        <v>2</v>
      </c>
      <c r="N10" s="6" t="s">
        <v>202</v>
      </c>
      <c r="O10" s="8" t="s">
        <v>435</v>
      </c>
      <c r="P10" s="8" t="s">
        <v>436</v>
      </c>
      <c r="Q10" s="8" t="s">
        <v>461</v>
      </c>
      <c r="R10" s="8">
        <v>1</v>
      </c>
      <c r="S10" s="8" t="s">
        <v>133</v>
      </c>
      <c r="T10" s="8">
        <v>26</v>
      </c>
      <c r="U10" s="8">
        <v>1</v>
      </c>
      <c r="V10" s="8">
        <v>24</v>
      </c>
      <c r="W10" s="8">
        <v>26</v>
      </c>
      <c r="X10" s="8">
        <v>1</v>
      </c>
      <c r="Y10" s="8">
        <v>26</v>
      </c>
      <c r="Z10" s="8">
        <f t="shared" si="11"/>
        <v>2</v>
      </c>
      <c r="AA10" s="8">
        <v>15</v>
      </c>
      <c r="AC10" s="8" t="s">
        <v>523</v>
      </c>
      <c r="AE10" s="5">
        <f t="shared" si="0"/>
        <v>27044381</v>
      </c>
      <c r="AF10" s="5" t="b">
        <f t="shared" si="4"/>
        <v>0</v>
      </c>
      <c r="AG10" s="5" t="b">
        <f t="shared" si="5"/>
        <v>1</v>
      </c>
      <c r="AH10" s="5" t="b">
        <f t="shared" si="6"/>
        <v>0</v>
      </c>
      <c r="AI10" s="5" t="b">
        <f t="shared" si="7"/>
        <v>0</v>
      </c>
      <c r="AJ10" s="68">
        <f t="shared" si="1"/>
        <v>44584</v>
      </c>
      <c r="AK10" s="68">
        <f t="shared" si="2"/>
        <v>44586</v>
      </c>
      <c r="AL10" s="5">
        <f t="shared" si="8"/>
        <v>1</v>
      </c>
      <c r="AM10" s="5">
        <f t="shared" si="3"/>
        <v>15</v>
      </c>
      <c r="AN10" s="4">
        <f t="shared" si="9"/>
        <v>15</v>
      </c>
    </row>
    <row r="11" spans="1:46">
      <c r="A11" s="22" t="s">
        <v>215</v>
      </c>
      <c r="B11" s="22" t="s">
        <v>235</v>
      </c>
      <c r="C11" s="4" t="s">
        <v>236</v>
      </c>
      <c r="D11" s="4" t="s">
        <v>32</v>
      </c>
      <c r="E11" s="4" t="s">
        <v>27</v>
      </c>
      <c r="F11" s="5">
        <v>94109</v>
      </c>
      <c r="G11" s="51" t="s">
        <v>237</v>
      </c>
      <c r="H11" s="12" t="s">
        <v>238</v>
      </c>
      <c r="I11" s="5" t="s">
        <v>133</v>
      </c>
      <c r="J11" s="7" t="s">
        <v>216</v>
      </c>
      <c r="K11" s="5">
        <v>2</v>
      </c>
      <c r="L11" s="5">
        <v>1</v>
      </c>
      <c r="M11" s="5">
        <f t="shared" si="10"/>
        <v>2</v>
      </c>
      <c r="Q11" s="8" t="s">
        <v>509</v>
      </c>
      <c r="R11" s="8">
        <v>1</v>
      </c>
      <c r="S11" s="8" t="s">
        <v>133</v>
      </c>
      <c r="T11" s="8">
        <v>26</v>
      </c>
      <c r="U11" s="8">
        <v>1</v>
      </c>
      <c r="V11" s="8">
        <v>15</v>
      </c>
      <c r="W11" s="8">
        <v>26</v>
      </c>
      <c r="X11" s="8">
        <v>1</v>
      </c>
      <c r="Y11" s="8">
        <v>18</v>
      </c>
      <c r="Z11" s="8">
        <f t="shared" si="11"/>
        <v>3</v>
      </c>
      <c r="AA11" s="8">
        <v>6</v>
      </c>
      <c r="AB11" s="8" t="s">
        <v>432</v>
      </c>
      <c r="AC11" s="8" t="s">
        <v>523</v>
      </c>
      <c r="AE11" s="5">
        <f t="shared" si="0"/>
        <v>28075512</v>
      </c>
      <c r="AF11" s="5" t="b">
        <f t="shared" si="4"/>
        <v>0</v>
      </c>
      <c r="AG11" s="5" t="b">
        <f t="shared" si="5"/>
        <v>1</v>
      </c>
      <c r="AH11" s="5" t="b">
        <f t="shared" si="6"/>
        <v>0</v>
      </c>
      <c r="AI11" s="5" t="b">
        <f t="shared" si="7"/>
        <v>0</v>
      </c>
      <c r="AJ11" s="68">
        <f t="shared" si="1"/>
        <v>44575</v>
      </c>
      <c r="AK11" s="68">
        <f t="shared" si="2"/>
        <v>44578</v>
      </c>
      <c r="AL11" s="5">
        <f t="shared" si="8"/>
        <v>1</v>
      </c>
      <c r="AM11" s="5">
        <f t="shared" si="3"/>
        <v>6</v>
      </c>
      <c r="AN11" s="4">
        <f t="shared" si="9"/>
        <v>4</v>
      </c>
    </row>
    <row r="12" spans="1:46" ht="12" thickBot="1">
      <c r="A12" s="14" t="s">
        <v>67</v>
      </c>
      <c r="B12" s="14" t="s">
        <v>68</v>
      </c>
      <c r="D12" s="4" t="s">
        <v>32</v>
      </c>
      <c r="E12" s="4" t="s">
        <v>27</v>
      </c>
      <c r="G12" s="51" t="s">
        <v>79</v>
      </c>
      <c r="H12" s="16" t="s">
        <v>90</v>
      </c>
      <c r="I12" s="5" t="s">
        <v>97</v>
      </c>
      <c r="J12" s="7" t="s">
        <v>98</v>
      </c>
      <c r="K12" s="5">
        <v>2</v>
      </c>
      <c r="L12" s="5">
        <v>1</v>
      </c>
      <c r="M12" s="5">
        <f t="shared" si="10"/>
        <v>2</v>
      </c>
      <c r="Q12" s="8" t="s">
        <v>483</v>
      </c>
      <c r="R12" s="8">
        <v>2</v>
      </c>
      <c r="S12" s="8" t="s">
        <v>30</v>
      </c>
      <c r="T12" s="8">
        <v>26</v>
      </c>
      <c r="U12" s="8">
        <v>3</v>
      </c>
      <c r="V12" s="8">
        <v>14</v>
      </c>
      <c r="W12" s="8">
        <v>26</v>
      </c>
      <c r="X12" s="8">
        <v>3</v>
      </c>
      <c r="Y12" s="8">
        <v>15</v>
      </c>
      <c r="Z12" s="8">
        <f t="shared" si="11"/>
        <v>1</v>
      </c>
      <c r="AA12" s="8">
        <v>7</v>
      </c>
      <c r="AB12" s="8" t="s">
        <v>466</v>
      </c>
      <c r="AC12" s="8" t="s">
        <v>523</v>
      </c>
      <c r="AE12" s="5">
        <f t="shared" si="0"/>
        <v>28075894</v>
      </c>
      <c r="AF12" s="5" t="b">
        <f t="shared" si="4"/>
        <v>1</v>
      </c>
      <c r="AG12" s="5" t="b">
        <f t="shared" si="5"/>
        <v>0</v>
      </c>
      <c r="AH12" s="5" t="b">
        <f t="shared" si="6"/>
        <v>0</v>
      </c>
      <c r="AI12" s="5" t="b">
        <f t="shared" si="7"/>
        <v>0</v>
      </c>
      <c r="AJ12" s="68">
        <f t="shared" si="1"/>
        <v>44633</v>
      </c>
      <c r="AK12" s="68">
        <f t="shared" si="2"/>
        <v>44634</v>
      </c>
      <c r="AL12" s="5">
        <f t="shared" si="8"/>
        <v>2</v>
      </c>
      <c r="AM12" s="5">
        <f t="shared" si="3"/>
        <v>7</v>
      </c>
      <c r="AN12" s="4">
        <f t="shared" si="9"/>
        <v>4</v>
      </c>
    </row>
    <row r="13" spans="1:46" ht="12" thickBot="1">
      <c r="A13" s="31" t="s">
        <v>213</v>
      </c>
      <c r="B13" s="31" t="s">
        <v>214</v>
      </c>
      <c r="C13" s="4" t="s">
        <v>239</v>
      </c>
      <c r="D13" s="4" t="s">
        <v>32</v>
      </c>
      <c r="E13" s="4" t="s">
        <v>27</v>
      </c>
      <c r="F13" s="5">
        <v>94116</v>
      </c>
      <c r="G13" s="63" t="s">
        <v>224</v>
      </c>
      <c r="H13" s="35" t="s">
        <v>225</v>
      </c>
      <c r="I13" s="5" t="s">
        <v>133</v>
      </c>
      <c r="J13" s="7" t="s">
        <v>216</v>
      </c>
      <c r="K13" s="5">
        <v>2</v>
      </c>
      <c r="L13" s="5">
        <v>1</v>
      </c>
      <c r="M13" s="5">
        <f t="shared" si="10"/>
        <v>2</v>
      </c>
      <c r="Q13" s="8" t="s">
        <v>538</v>
      </c>
      <c r="R13" s="8" t="s">
        <v>526</v>
      </c>
      <c r="S13" s="8" t="s">
        <v>133</v>
      </c>
      <c r="T13" s="8">
        <v>26</v>
      </c>
      <c r="U13" s="8">
        <v>3</v>
      </c>
      <c r="V13" s="8">
        <v>15</v>
      </c>
      <c r="W13" s="8">
        <v>26</v>
      </c>
      <c r="X13" s="8">
        <v>3</v>
      </c>
      <c r="Y13" s="8">
        <v>17</v>
      </c>
      <c r="Z13" s="8">
        <f t="shared" si="11"/>
        <v>2</v>
      </c>
      <c r="AA13" s="8">
        <v>10</v>
      </c>
      <c r="AB13" s="8" t="s">
        <v>466</v>
      </c>
      <c r="AC13" s="8" t="s">
        <v>523</v>
      </c>
      <c r="AD13" s="5" t="s">
        <v>539</v>
      </c>
      <c r="AE13" s="5">
        <f t="shared" si="0"/>
        <v>28090137</v>
      </c>
      <c r="AF13" s="5" t="b">
        <f t="shared" si="4"/>
        <v>0</v>
      </c>
      <c r="AG13" s="5" t="b">
        <f t="shared" si="5"/>
        <v>1</v>
      </c>
      <c r="AH13" s="5" t="b">
        <f t="shared" si="6"/>
        <v>0</v>
      </c>
      <c r="AI13" s="5" t="b">
        <f t="shared" si="7"/>
        <v>0</v>
      </c>
      <c r="AJ13" s="68">
        <f t="shared" si="1"/>
        <v>44634</v>
      </c>
      <c r="AK13" s="68">
        <f t="shared" si="2"/>
        <v>44636</v>
      </c>
      <c r="AL13" s="5">
        <f t="shared" si="8"/>
        <v>1</v>
      </c>
      <c r="AM13" s="5">
        <f t="shared" si="3"/>
        <v>10</v>
      </c>
      <c r="AN13" s="4">
        <f t="shared" si="9"/>
        <v>6</v>
      </c>
    </row>
    <row r="14" spans="1:46" ht="12" thickBot="1">
      <c r="A14" s="76" t="s">
        <v>150</v>
      </c>
      <c r="B14" s="76" t="s">
        <v>151</v>
      </c>
      <c r="C14" s="4" t="s">
        <v>177</v>
      </c>
      <c r="D14" s="4" t="s">
        <v>118</v>
      </c>
      <c r="E14" s="4" t="s">
        <v>27</v>
      </c>
      <c r="F14" s="5">
        <v>94062</v>
      </c>
      <c r="G14" s="51" t="s">
        <v>179</v>
      </c>
      <c r="H14" s="19" t="s">
        <v>161</v>
      </c>
      <c r="I14" s="5" t="s">
        <v>97</v>
      </c>
      <c r="J14" s="7" t="s">
        <v>166</v>
      </c>
      <c r="K14" s="5">
        <v>2</v>
      </c>
      <c r="L14" s="5">
        <v>1</v>
      </c>
      <c r="M14" s="5">
        <f t="shared" si="10"/>
        <v>2</v>
      </c>
      <c r="Q14" s="8" t="s">
        <v>471</v>
      </c>
      <c r="R14" s="8">
        <v>1</v>
      </c>
      <c r="S14" s="8" t="s">
        <v>97</v>
      </c>
      <c r="T14" s="8">
        <v>26</v>
      </c>
      <c r="U14" s="8">
        <v>2</v>
      </c>
      <c r="V14" s="8">
        <v>27</v>
      </c>
      <c r="W14" s="8">
        <v>26</v>
      </c>
      <c r="X14" s="8">
        <v>3</v>
      </c>
      <c r="Y14" s="8">
        <v>2</v>
      </c>
      <c r="Z14" s="8">
        <v>3</v>
      </c>
      <c r="AA14" s="8">
        <v>15</v>
      </c>
      <c r="AC14" s="8" t="s">
        <v>523</v>
      </c>
      <c r="AE14" s="5">
        <f t="shared" si="0"/>
        <v>28106784</v>
      </c>
      <c r="AF14" s="5" t="b">
        <f t="shared" si="4"/>
        <v>0</v>
      </c>
      <c r="AG14" s="5" t="b">
        <f t="shared" si="5"/>
        <v>0</v>
      </c>
      <c r="AH14" s="5" t="b">
        <f t="shared" si="6"/>
        <v>1</v>
      </c>
      <c r="AI14" s="5" t="b">
        <f t="shared" si="7"/>
        <v>0</v>
      </c>
      <c r="AJ14" s="68">
        <f t="shared" si="1"/>
        <v>44618</v>
      </c>
      <c r="AK14" s="68">
        <f t="shared" si="2"/>
        <v>44621</v>
      </c>
      <c r="AL14" s="5">
        <f t="shared" si="8"/>
        <v>1</v>
      </c>
      <c r="AM14" s="5">
        <f t="shared" si="3"/>
        <v>15</v>
      </c>
      <c r="AN14" s="4">
        <f t="shared" si="9"/>
        <v>15</v>
      </c>
    </row>
    <row r="15" spans="1:46">
      <c r="A15" s="74" t="s">
        <v>245</v>
      </c>
      <c r="B15" s="74" t="s">
        <v>542</v>
      </c>
      <c r="C15" s="4" t="s">
        <v>243</v>
      </c>
      <c r="D15" s="4" t="s">
        <v>100</v>
      </c>
      <c r="E15" s="4" t="s">
        <v>27</v>
      </c>
      <c r="G15" s="51" t="s">
        <v>246</v>
      </c>
      <c r="H15" s="12" t="s">
        <v>248</v>
      </c>
      <c r="I15" s="5" t="s">
        <v>30</v>
      </c>
      <c r="J15" s="7" t="s">
        <v>240</v>
      </c>
      <c r="K15" s="5">
        <v>1</v>
      </c>
      <c r="L15" s="5">
        <v>1</v>
      </c>
      <c r="M15" s="5">
        <f t="shared" si="10"/>
        <v>1</v>
      </c>
      <c r="Q15" s="8" t="s">
        <v>543</v>
      </c>
      <c r="R15" s="8" t="s">
        <v>526</v>
      </c>
      <c r="S15" s="8" t="s">
        <v>97</v>
      </c>
      <c r="T15" s="8">
        <v>26</v>
      </c>
      <c r="U15" s="8">
        <v>2</v>
      </c>
      <c r="V15" s="8">
        <v>13</v>
      </c>
      <c r="W15" s="8">
        <v>26</v>
      </c>
      <c r="X15" s="8">
        <v>2</v>
      </c>
      <c r="Y15" s="8">
        <v>14</v>
      </c>
      <c r="Z15" s="8">
        <f t="shared" ref="Z15:Z20" si="12">1000*(W15-T15)+100*(X15-U15)+(Y15-V15)</f>
        <v>1</v>
      </c>
      <c r="AA15" s="8">
        <v>15</v>
      </c>
      <c r="AC15" s="8" t="s">
        <v>523</v>
      </c>
      <c r="AE15" s="5">
        <f t="shared" si="0"/>
        <v>28107425</v>
      </c>
      <c r="AF15" s="5" t="b">
        <f t="shared" si="4"/>
        <v>0</v>
      </c>
      <c r="AG15" s="5" t="b">
        <f t="shared" si="5"/>
        <v>0</v>
      </c>
      <c r="AH15" s="5" t="b">
        <f t="shared" si="6"/>
        <v>1</v>
      </c>
      <c r="AI15" s="5" t="b">
        <f t="shared" si="7"/>
        <v>0</v>
      </c>
      <c r="AJ15" s="68">
        <f t="shared" si="1"/>
        <v>44604</v>
      </c>
      <c r="AK15" s="68">
        <f t="shared" si="2"/>
        <v>44605</v>
      </c>
      <c r="AL15" s="5">
        <f t="shared" si="8"/>
        <v>1</v>
      </c>
      <c r="AM15" s="5">
        <f t="shared" si="3"/>
        <v>15</v>
      </c>
      <c r="AN15" s="4">
        <f t="shared" si="9"/>
        <v>15</v>
      </c>
    </row>
    <row r="16" spans="1:46">
      <c r="A16" s="30" t="s">
        <v>226</v>
      </c>
      <c r="B16" s="30" t="s">
        <v>318</v>
      </c>
      <c r="C16" s="4" t="s">
        <v>350</v>
      </c>
      <c r="D16" s="4" t="s">
        <v>32</v>
      </c>
      <c r="E16" s="4" t="s">
        <v>27</v>
      </c>
      <c r="F16" s="5">
        <v>94110</v>
      </c>
      <c r="G16" s="51" t="s">
        <v>351</v>
      </c>
      <c r="H16" s="24" t="s">
        <v>337</v>
      </c>
      <c r="I16" s="5" t="s">
        <v>15</v>
      </c>
      <c r="J16" s="7" t="s">
        <v>252</v>
      </c>
      <c r="K16" s="5">
        <v>2</v>
      </c>
      <c r="L16" s="5">
        <v>1</v>
      </c>
      <c r="M16" s="5">
        <f t="shared" si="10"/>
        <v>2</v>
      </c>
      <c r="Q16" s="8" t="s">
        <v>520</v>
      </c>
      <c r="R16" s="8">
        <v>9</v>
      </c>
      <c r="S16" s="8" t="s">
        <v>97</v>
      </c>
      <c r="T16" s="8">
        <v>26</v>
      </c>
      <c r="U16" s="8">
        <v>4</v>
      </c>
      <c r="V16" s="8">
        <v>25</v>
      </c>
      <c r="W16" s="8">
        <v>26</v>
      </c>
      <c r="X16" s="8">
        <v>4</v>
      </c>
      <c r="Y16" s="8">
        <v>27</v>
      </c>
      <c r="Z16" s="8">
        <f t="shared" si="12"/>
        <v>2</v>
      </c>
      <c r="AA16" s="8">
        <v>15</v>
      </c>
      <c r="AC16" s="8" t="s">
        <v>523</v>
      </c>
      <c r="AE16" s="5">
        <f t="shared" si="0"/>
        <v>28107495</v>
      </c>
      <c r="AF16" s="5" t="b">
        <f t="shared" si="4"/>
        <v>0</v>
      </c>
      <c r="AG16" s="5" t="b">
        <f t="shared" si="5"/>
        <v>0</v>
      </c>
      <c r="AH16" s="5" t="b">
        <f t="shared" si="6"/>
        <v>1</v>
      </c>
      <c r="AI16" s="5" t="b">
        <f t="shared" si="7"/>
        <v>0</v>
      </c>
      <c r="AJ16" s="68">
        <f t="shared" si="1"/>
        <v>44675</v>
      </c>
      <c r="AK16" s="68">
        <f t="shared" si="2"/>
        <v>44677</v>
      </c>
      <c r="AL16" s="5">
        <f t="shared" si="8"/>
        <v>9</v>
      </c>
      <c r="AM16" s="5">
        <f t="shared" si="3"/>
        <v>15</v>
      </c>
      <c r="AN16" s="4">
        <f t="shared" si="9"/>
        <v>15</v>
      </c>
    </row>
    <row r="17" spans="1:40">
      <c r="A17" s="4" t="s">
        <v>39</v>
      </c>
      <c r="B17" s="4" t="s">
        <v>40</v>
      </c>
      <c r="C17" s="4" t="s">
        <v>41</v>
      </c>
      <c r="D17" s="4" t="s">
        <v>36</v>
      </c>
      <c r="E17" s="4" t="s">
        <v>27</v>
      </c>
      <c r="F17" s="5">
        <v>94609</v>
      </c>
      <c r="G17" s="51" t="s">
        <v>42</v>
      </c>
      <c r="H17" s="12" t="s">
        <v>43</v>
      </c>
      <c r="I17" s="5" t="s">
        <v>30</v>
      </c>
      <c r="J17" s="7" t="s">
        <v>31</v>
      </c>
      <c r="K17" s="5">
        <v>2</v>
      </c>
      <c r="L17" s="5">
        <v>1</v>
      </c>
      <c r="M17" s="5">
        <v>2</v>
      </c>
      <c r="Q17" s="8" t="s">
        <v>492</v>
      </c>
      <c r="R17" s="8">
        <v>3</v>
      </c>
      <c r="S17" s="8" t="s">
        <v>133</v>
      </c>
      <c r="T17" s="8">
        <v>26</v>
      </c>
      <c r="U17" s="8">
        <v>3</v>
      </c>
      <c r="V17" s="8">
        <v>20</v>
      </c>
      <c r="W17" s="8">
        <v>26</v>
      </c>
      <c r="X17" s="8">
        <v>3</v>
      </c>
      <c r="Y17" s="8">
        <v>22</v>
      </c>
      <c r="Z17" s="8">
        <f t="shared" si="12"/>
        <v>2</v>
      </c>
      <c r="AA17" s="8">
        <v>7</v>
      </c>
      <c r="AB17" s="8" t="s">
        <v>466</v>
      </c>
      <c r="AC17" s="8" t="s">
        <v>523</v>
      </c>
      <c r="AE17" s="5">
        <f t="shared" si="0"/>
        <v>28120707</v>
      </c>
      <c r="AF17" s="5" t="b">
        <f t="shared" si="4"/>
        <v>0</v>
      </c>
      <c r="AG17" s="5" t="b">
        <f t="shared" si="5"/>
        <v>1</v>
      </c>
      <c r="AH17" s="5" t="b">
        <f t="shared" si="6"/>
        <v>0</v>
      </c>
      <c r="AI17" s="5" t="b">
        <f t="shared" si="7"/>
        <v>0</v>
      </c>
      <c r="AJ17" s="68">
        <f t="shared" si="1"/>
        <v>44639</v>
      </c>
      <c r="AK17" s="68">
        <f t="shared" si="2"/>
        <v>44641</v>
      </c>
      <c r="AL17" s="5">
        <f t="shared" si="8"/>
        <v>3</v>
      </c>
      <c r="AM17" s="5">
        <f t="shared" si="3"/>
        <v>7</v>
      </c>
      <c r="AN17" s="4">
        <f t="shared" si="9"/>
        <v>4</v>
      </c>
    </row>
    <row r="18" spans="1:40">
      <c r="A18" s="74" t="s">
        <v>241</v>
      </c>
      <c r="B18" s="74" t="s">
        <v>242</v>
      </c>
      <c r="C18" s="4" t="s">
        <v>243</v>
      </c>
      <c r="D18" s="4" t="s">
        <v>100</v>
      </c>
      <c r="E18" s="4" t="s">
        <v>27</v>
      </c>
      <c r="G18" s="51" t="s">
        <v>244</v>
      </c>
      <c r="H18" s="12" t="s">
        <v>247</v>
      </c>
      <c r="I18" s="5" t="s">
        <v>30</v>
      </c>
      <c r="J18" s="7" t="s">
        <v>240</v>
      </c>
      <c r="K18" s="5">
        <v>1</v>
      </c>
      <c r="L18" s="5">
        <v>1</v>
      </c>
      <c r="M18" s="5">
        <f t="shared" ref="M18:M49" si="13">K18*L18</f>
        <v>1</v>
      </c>
      <c r="Q18" s="8" t="s">
        <v>464</v>
      </c>
      <c r="R18" s="8">
        <v>1</v>
      </c>
      <c r="S18" s="8" t="s">
        <v>133</v>
      </c>
      <c r="T18" s="8">
        <v>26</v>
      </c>
      <c r="U18" s="8">
        <v>3</v>
      </c>
      <c r="V18" s="8">
        <v>10</v>
      </c>
      <c r="W18" s="8">
        <v>26</v>
      </c>
      <c r="X18" s="8">
        <v>3</v>
      </c>
      <c r="Y18" s="8">
        <v>12</v>
      </c>
      <c r="Z18" s="8">
        <f t="shared" si="12"/>
        <v>2</v>
      </c>
      <c r="AA18" s="8">
        <v>15</v>
      </c>
      <c r="AC18" s="8" t="s">
        <v>523</v>
      </c>
      <c r="AE18" s="5">
        <f t="shared" si="0"/>
        <v>28664534</v>
      </c>
      <c r="AF18" s="5" t="b">
        <f t="shared" si="4"/>
        <v>0</v>
      </c>
      <c r="AG18" s="5" t="b">
        <f t="shared" si="5"/>
        <v>1</v>
      </c>
      <c r="AH18" s="5" t="b">
        <f t="shared" si="6"/>
        <v>0</v>
      </c>
      <c r="AI18" s="5" t="b">
        <f t="shared" si="7"/>
        <v>0</v>
      </c>
      <c r="AJ18" s="68">
        <f t="shared" si="1"/>
        <v>44629</v>
      </c>
      <c r="AK18" s="68">
        <f t="shared" si="2"/>
        <v>44631</v>
      </c>
      <c r="AL18" s="5">
        <f t="shared" si="8"/>
        <v>1</v>
      </c>
      <c r="AM18" s="5">
        <f t="shared" si="3"/>
        <v>15</v>
      </c>
      <c r="AN18" s="4">
        <f t="shared" si="9"/>
        <v>15</v>
      </c>
    </row>
    <row r="19" spans="1:40">
      <c r="A19" s="4" t="s">
        <v>59</v>
      </c>
      <c r="B19" s="4" t="s">
        <v>188</v>
      </c>
      <c r="G19" s="51" t="s">
        <v>495</v>
      </c>
      <c r="H19" s="12" t="s">
        <v>198</v>
      </c>
      <c r="I19" s="5" t="s">
        <v>30</v>
      </c>
      <c r="J19" s="7" t="s">
        <v>201</v>
      </c>
      <c r="K19" s="5">
        <v>2</v>
      </c>
      <c r="L19" s="5">
        <v>1</v>
      </c>
      <c r="M19" s="5">
        <f t="shared" si="13"/>
        <v>2</v>
      </c>
      <c r="Q19" s="8" t="s">
        <v>507</v>
      </c>
      <c r="R19" s="8">
        <v>1</v>
      </c>
      <c r="S19" s="8" t="s">
        <v>15</v>
      </c>
      <c r="T19" s="8">
        <v>26</v>
      </c>
      <c r="U19" s="8">
        <v>2</v>
      </c>
      <c r="V19" s="8">
        <v>14</v>
      </c>
      <c r="W19" s="8">
        <v>26</v>
      </c>
      <c r="X19" s="8">
        <v>2</v>
      </c>
      <c r="Y19" s="8">
        <v>16</v>
      </c>
      <c r="Z19" s="8">
        <f t="shared" si="12"/>
        <v>2</v>
      </c>
      <c r="AA19" s="8">
        <v>8</v>
      </c>
      <c r="AB19" s="8" t="s">
        <v>449</v>
      </c>
      <c r="AC19" s="8" t="s">
        <v>523</v>
      </c>
      <c r="AE19" s="5">
        <f t="shared" si="0"/>
        <v>29023353</v>
      </c>
      <c r="AF19" s="5" t="b">
        <f t="shared" si="4"/>
        <v>1</v>
      </c>
      <c r="AG19" s="5" t="b">
        <f t="shared" si="5"/>
        <v>1</v>
      </c>
      <c r="AH19" s="5" t="b">
        <f t="shared" si="6"/>
        <v>1</v>
      </c>
      <c r="AI19" s="5" t="b">
        <f t="shared" si="7"/>
        <v>1</v>
      </c>
      <c r="AJ19" s="68">
        <f t="shared" si="1"/>
        <v>44605</v>
      </c>
      <c r="AK19" s="68">
        <f t="shared" si="2"/>
        <v>44607</v>
      </c>
      <c r="AL19" s="5">
        <f t="shared" si="8"/>
        <v>1</v>
      </c>
      <c r="AM19" s="5">
        <f t="shared" si="3"/>
        <v>8</v>
      </c>
      <c r="AN19" s="4">
        <f t="shared" si="9"/>
        <v>4</v>
      </c>
    </row>
    <row r="20" spans="1:40">
      <c r="A20" s="13" t="s">
        <v>59</v>
      </c>
      <c r="B20" s="13" t="s">
        <v>60</v>
      </c>
      <c r="D20" s="4" t="s">
        <v>100</v>
      </c>
      <c r="E20" s="4" t="s">
        <v>27</v>
      </c>
      <c r="G20" s="51" t="s">
        <v>94</v>
      </c>
      <c r="H20" s="11" t="s">
        <v>86</v>
      </c>
      <c r="I20" s="5" t="s">
        <v>97</v>
      </c>
      <c r="J20" s="7" t="s">
        <v>98</v>
      </c>
      <c r="K20" s="5">
        <v>2</v>
      </c>
      <c r="L20" s="5">
        <v>1</v>
      </c>
      <c r="M20" s="5">
        <f t="shared" si="13"/>
        <v>2</v>
      </c>
      <c r="Q20" s="8" t="s">
        <v>423</v>
      </c>
      <c r="R20" s="8">
        <v>5</v>
      </c>
      <c r="S20" s="8" t="s">
        <v>133</v>
      </c>
      <c r="T20" s="8">
        <v>26</v>
      </c>
      <c r="U20" s="8">
        <v>4</v>
      </c>
      <c r="V20" s="8">
        <v>10</v>
      </c>
      <c r="W20" s="8">
        <v>26</v>
      </c>
      <c r="X20" s="8">
        <v>4</v>
      </c>
      <c r="Y20" s="8">
        <v>12</v>
      </c>
      <c r="Z20" s="8">
        <f t="shared" si="12"/>
        <v>2</v>
      </c>
      <c r="AA20" s="8">
        <v>9</v>
      </c>
      <c r="AC20" s="8" t="s">
        <v>523</v>
      </c>
      <c r="AE20" s="5">
        <f t="shared" si="0"/>
        <v>29023353</v>
      </c>
      <c r="AF20" s="5" t="b">
        <f t="shared" si="4"/>
        <v>0</v>
      </c>
      <c r="AG20" s="5" t="b">
        <f t="shared" si="5"/>
        <v>1</v>
      </c>
      <c r="AH20" s="5" t="b">
        <f t="shared" si="6"/>
        <v>0</v>
      </c>
      <c r="AI20" s="5" t="b">
        <f t="shared" si="7"/>
        <v>0</v>
      </c>
      <c r="AJ20" s="68">
        <f t="shared" si="1"/>
        <v>44660</v>
      </c>
      <c r="AK20" s="68">
        <f t="shared" si="2"/>
        <v>44662</v>
      </c>
      <c r="AL20" s="5">
        <f t="shared" si="8"/>
        <v>5</v>
      </c>
      <c r="AM20" s="5">
        <f t="shared" si="3"/>
        <v>9</v>
      </c>
      <c r="AN20" s="4">
        <f t="shared" si="9"/>
        <v>9</v>
      </c>
    </row>
    <row r="21" spans="1:40">
      <c r="A21" s="4" t="s">
        <v>303</v>
      </c>
      <c r="B21" s="4" t="s">
        <v>304</v>
      </c>
      <c r="C21" s="4" t="s">
        <v>305</v>
      </c>
      <c r="D21" s="4" t="s">
        <v>306</v>
      </c>
      <c r="E21" s="4" t="s">
        <v>27</v>
      </c>
      <c r="G21" s="51" t="s">
        <v>307</v>
      </c>
      <c r="H21" s="49" t="s">
        <v>308</v>
      </c>
      <c r="I21" s="5" t="s">
        <v>97</v>
      </c>
      <c r="J21" s="7" t="s">
        <v>252</v>
      </c>
      <c r="K21" s="5">
        <v>2</v>
      </c>
      <c r="L21" s="5">
        <v>1</v>
      </c>
      <c r="M21" s="5">
        <f t="shared" si="13"/>
        <v>2</v>
      </c>
      <c r="Q21" s="8" t="s">
        <v>479</v>
      </c>
      <c r="R21" s="8">
        <v>1</v>
      </c>
      <c r="S21" s="8" t="s">
        <v>97</v>
      </c>
      <c r="T21" s="8">
        <v>25</v>
      </c>
      <c r="U21" s="8">
        <v>12</v>
      </c>
      <c r="V21" s="8">
        <v>30</v>
      </c>
      <c r="W21" s="8">
        <v>26</v>
      </c>
      <c r="X21" s="8">
        <v>1</v>
      </c>
      <c r="Y21" s="8">
        <v>1</v>
      </c>
      <c r="Z21" s="8">
        <v>2</v>
      </c>
      <c r="AA21" s="8">
        <v>15</v>
      </c>
      <c r="AC21" s="8" t="s">
        <v>523</v>
      </c>
      <c r="AE21" s="5">
        <f t="shared" si="0"/>
        <v>29047823</v>
      </c>
      <c r="AF21" s="5" t="b">
        <f t="shared" si="4"/>
        <v>0</v>
      </c>
      <c r="AG21" s="5" t="b">
        <f t="shared" si="5"/>
        <v>0</v>
      </c>
      <c r="AH21" s="5" t="b">
        <f t="shared" si="6"/>
        <v>1</v>
      </c>
      <c r="AI21" s="5" t="b">
        <f t="shared" si="7"/>
        <v>0</v>
      </c>
      <c r="AJ21" s="68">
        <f t="shared" si="1"/>
        <v>44559</v>
      </c>
      <c r="AK21" s="68">
        <f t="shared" si="2"/>
        <v>44561</v>
      </c>
      <c r="AL21" s="5">
        <f t="shared" si="8"/>
        <v>1</v>
      </c>
      <c r="AM21" s="5">
        <f t="shared" si="3"/>
        <v>15</v>
      </c>
      <c r="AN21" s="4">
        <f t="shared" si="9"/>
        <v>15</v>
      </c>
    </row>
    <row r="22" spans="1:40">
      <c r="A22" s="73" t="s">
        <v>139</v>
      </c>
      <c r="B22" s="73" t="s">
        <v>140</v>
      </c>
      <c r="C22" s="4" t="s">
        <v>141</v>
      </c>
      <c r="D22" s="4" t="s">
        <v>142</v>
      </c>
      <c r="E22" s="4" t="s">
        <v>102</v>
      </c>
      <c r="F22" s="5">
        <v>89703</v>
      </c>
      <c r="G22" s="79" t="s">
        <v>143</v>
      </c>
      <c r="H22" s="49" t="s">
        <v>144</v>
      </c>
      <c r="I22" s="5" t="s">
        <v>408</v>
      </c>
      <c r="J22" s="7" t="s">
        <v>134</v>
      </c>
      <c r="K22" s="5">
        <v>3</v>
      </c>
      <c r="L22" s="5">
        <v>1</v>
      </c>
      <c r="M22" s="5">
        <f t="shared" si="13"/>
        <v>3</v>
      </c>
      <c r="Q22" s="8" t="s">
        <v>478</v>
      </c>
      <c r="R22" s="8">
        <v>2</v>
      </c>
      <c r="S22" s="8" t="s">
        <v>133</v>
      </c>
      <c r="T22" s="8">
        <v>26</v>
      </c>
      <c r="U22" s="8">
        <v>1</v>
      </c>
      <c r="V22" s="8">
        <v>18</v>
      </c>
      <c r="W22" s="8">
        <v>26</v>
      </c>
      <c r="X22" s="8">
        <v>1</v>
      </c>
      <c r="Y22" s="8">
        <v>20</v>
      </c>
      <c r="Z22" s="8">
        <f>1000*(W22-T22)+100*(X22-U22)+(Y22-V22)</f>
        <v>2</v>
      </c>
      <c r="AA22" s="8">
        <v>4</v>
      </c>
      <c r="AC22" s="8" t="s">
        <v>523</v>
      </c>
      <c r="AE22" s="5">
        <f t="shared" si="0"/>
        <v>29098784</v>
      </c>
      <c r="AF22" s="5" t="b">
        <f t="shared" si="4"/>
        <v>0</v>
      </c>
      <c r="AG22" s="5" t="b">
        <f t="shared" si="5"/>
        <v>1</v>
      </c>
      <c r="AH22" s="5" t="b">
        <f t="shared" si="6"/>
        <v>0</v>
      </c>
      <c r="AI22" s="5" t="b">
        <f t="shared" si="7"/>
        <v>0</v>
      </c>
      <c r="AJ22" s="68">
        <f t="shared" si="1"/>
        <v>44578</v>
      </c>
      <c r="AK22" s="68">
        <f t="shared" si="2"/>
        <v>44580</v>
      </c>
      <c r="AL22" s="5">
        <f t="shared" si="8"/>
        <v>2</v>
      </c>
      <c r="AM22" s="5">
        <f t="shared" si="3"/>
        <v>4</v>
      </c>
      <c r="AN22" s="4">
        <f t="shared" si="9"/>
        <v>4</v>
      </c>
    </row>
    <row r="23" spans="1:40" ht="12" thickBot="1">
      <c r="A23" s="4" t="s">
        <v>187</v>
      </c>
      <c r="B23" s="4" t="s">
        <v>140</v>
      </c>
      <c r="G23" s="51" t="s">
        <v>489</v>
      </c>
      <c r="H23" s="23" t="s">
        <v>313</v>
      </c>
      <c r="I23" s="5" t="s">
        <v>30</v>
      </c>
      <c r="J23" s="7" t="s">
        <v>201</v>
      </c>
      <c r="K23" s="5">
        <v>2</v>
      </c>
      <c r="L23" s="5">
        <v>1</v>
      </c>
      <c r="M23" s="5">
        <f t="shared" si="13"/>
        <v>2</v>
      </c>
      <c r="Q23" s="8" t="s">
        <v>490</v>
      </c>
      <c r="R23" s="8">
        <v>1</v>
      </c>
      <c r="S23" s="8" t="s">
        <v>30</v>
      </c>
      <c r="T23" s="8">
        <v>26</v>
      </c>
      <c r="U23" s="8">
        <v>2</v>
      </c>
      <c r="V23" s="8">
        <v>8</v>
      </c>
      <c r="W23" s="8">
        <v>26</v>
      </c>
      <c r="X23" s="8">
        <v>2</v>
      </c>
      <c r="Y23" s="8">
        <v>10</v>
      </c>
      <c r="Z23" s="8">
        <f>1000*(W23-T23)+100*(X23-U23)+(Y23-V23)</f>
        <v>2</v>
      </c>
      <c r="AA23" s="8">
        <v>4</v>
      </c>
      <c r="AC23" s="8" t="s">
        <v>523</v>
      </c>
      <c r="AE23" s="5">
        <f t="shared" si="0"/>
        <v>29099095</v>
      </c>
      <c r="AF23" s="5" t="b">
        <f t="shared" si="4"/>
        <v>1</v>
      </c>
      <c r="AG23" s="5" t="b">
        <f t="shared" si="5"/>
        <v>0</v>
      </c>
      <c r="AH23" s="5" t="b">
        <f t="shared" si="6"/>
        <v>0</v>
      </c>
      <c r="AI23" s="5" t="b">
        <f t="shared" si="7"/>
        <v>0</v>
      </c>
      <c r="AJ23" s="68">
        <f t="shared" si="1"/>
        <v>44599</v>
      </c>
      <c r="AK23" s="68">
        <f t="shared" si="2"/>
        <v>44601</v>
      </c>
      <c r="AL23" s="5">
        <f t="shared" si="8"/>
        <v>1</v>
      </c>
      <c r="AM23" s="5">
        <f t="shared" si="3"/>
        <v>4</v>
      </c>
      <c r="AN23" s="4">
        <f t="shared" si="9"/>
        <v>4</v>
      </c>
    </row>
    <row r="24" spans="1:40" ht="13.5" thickBot="1">
      <c r="A24" s="28" t="s">
        <v>373</v>
      </c>
      <c r="B24" s="28" t="s">
        <v>374</v>
      </c>
      <c r="C24" s="4" t="s">
        <v>405</v>
      </c>
      <c r="D24" s="4" t="s">
        <v>36</v>
      </c>
      <c r="E24" s="4" t="s">
        <v>27</v>
      </c>
      <c r="F24" s="5">
        <v>94610</v>
      </c>
      <c r="G24" s="80" t="s">
        <v>396</v>
      </c>
      <c r="H24" s="84" t="s">
        <v>385</v>
      </c>
      <c r="I24" s="5" t="s">
        <v>390</v>
      </c>
      <c r="J24" s="7" t="s">
        <v>391</v>
      </c>
      <c r="K24" s="5">
        <v>1</v>
      </c>
      <c r="L24" s="5">
        <v>1</v>
      </c>
      <c r="M24" s="5">
        <f t="shared" si="13"/>
        <v>1</v>
      </c>
      <c r="Q24" s="8" t="s">
        <v>480</v>
      </c>
      <c r="R24" s="8">
        <v>1</v>
      </c>
      <c r="S24" s="8" t="s">
        <v>133</v>
      </c>
      <c r="T24" s="8">
        <v>26</v>
      </c>
      <c r="U24" s="8">
        <v>2</v>
      </c>
      <c r="V24" s="8">
        <v>28</v>
      </c>
      <c r="W24" s="8">
        <v>26</v>
      </c>
      <c r="X24" s="8">
        <v>3</v>
      </c>
      <c r="Y24" s="8">
        <v>1</v>
      </c>
      <c r="Z24" s="8">
        <v>1</v>
      </c>
      <c r="AA24" s="8">
        <v>4</v>
      </c>
      <c r="AD24" s="15" t="s">
        <v>537</v>
      </c>
      <c r="AE24" s="5">
        <f t="shared" si="0"/>
        <v>29144226</v>
      </c>
      <c r="AF24" s="5" t="b">
        <f t="shared" si="4"/>
        <v>0</v>
      </c>
      <c r="AG24" s="5" t="b">
        <f t="shared" si="5"/>
        <v>1</v>
      </c>
      <c r="AH24" s="5" t="b">
        <f t="shared" si="6"/>
        <v>0</v>
      </c>
      <c r="AI24" s="5" t="b">
        <f t="shared" si="7"/>
        <v>0</v>
      </c>
      <c r="AJ24" s="68">
        <f t="shared" si="1"/>
        <v>44619</v>
      </c>
      <c r="AK24" s="68">
        <f t="shared" si="2"/>
        <v>44620</v>
      </c>
      <c r="AL24" s="5">
        <f t="shared" si="8"/>
        <v>1</v>
      </c>
      <c r="AM24" s="5">
        <f t="shared" si="3"/>
        <v>4</v>
      </c>
      <c r="AN24" s="4">
        <f t="shared" si="9"/>
        <v>4</v>
      </c>
    </row>
    <row r="25" spans="1:40">
      <c r="A25" s="4" t="s">
        <v>241</v>
      </c>
      <c r="B25" s="4" t="s">
        <v>264</v>
      </c>
      <c r="C25" s="4" t="s">
        <v>265</v>
      </c>
      <c r="D25" s="4" t="s">
        <v>32</v>
      </c>
      <c r="E25" s="4" t="s">
        <v>27</v>
      </c>
      <c r="F25" s="5">
        <v>94107</v>
      </c>
      <c r="G25" s="51" t="s">
        <v>266</v>
      </c>
      <c r="H25" s="49" t="s">
        <v>267</v>
      </c>
      <c r="I25" s="5" t="s">
        <v>97</v>
      </c>
      <c r="J25" s="7" t="s">
        <v>252</v>
      </c>
      <c r="K25" s="5">
        <v>2</v>
      </c>
      <c r="L25" s="5">
        <v>1</v>
      </c>
      <c r="M25" s="5">
        <f t="shared" si="13"/>
        <v>2</v>
      </c>
      <c r="Q25" s="8" t="s">
        <v>497</v>
      </c>
      <c r="R25" s="8">
        <v>4</v>
      </c>
      <c r="S25" s="8" t="s">
        <v>30</v>
      </c>
      <c r="T25" s="8">
        <v>26</v>
      </c>
      <c r="U25" s="8">
        <v>3</v>
      </c>
      <c r="V25" s="8">
        <v>21</v>
      </c>
      <c r="W25" s="8">
        <v>26</v>
      </c>
      <c r="X25" s="8">
        <v>3</v>
      </c>
      <c r="Y25" s="8">
        <v>22</v>
      </c>
      <c r="Z25" s="8">
        <f>1000*(W25-T25)+100*(X25-U25)+(Y25-V25)</f>
        <v>1</v>
      </c>
      <c r="AA25" s="8">
        <v>7</v>
      </c>
      <c r="AB25" s="8" t="s">
        <v>466</v>
      </c>
      <c r="AC25" s="8" t="s">
        <v>524</v>
      </c>
      <c r="AE25" s="5">
        <f t="shared" si="0"/>
        <v>29176534</v>
      </c>
      <c r="AF25" s="5" t="b">
        <f t="shared" si="4"/>
        <v>1</v>
      </c>
      <c r="AG25" s="5" t="b">
        <f t="shared" si="5"/>
        <v>0</v>
      </c>
      <c r="AH25" s="5" t="b">
        <f t="shared" si="6"/>
        <v>0</v>
      </c>
      <c r="AI25" s="5" t="b">
        <f t="shared" si="7"/>
        <v>0</v>
      </c>
      <c r="AJ25" s="68">
        <f t="shared" si="1"/>
        <v>44640</v>
      </c>
      <c r="AK25" s="68">
        <f t="shared" si="2"/>
        <v>44641</v>
      </c>
      <c r="AL25" s="5">
        <f t="shared" si="8"/>
        <v>4</v>
      </c>
      <c r="AM25" s="5">
        <f t="shared" si="3"/>
        <v>7</v>
      </c>
      <c r="AN25" s="4">
        <f t="shared" si="9"/>
        <v>4</v>
      </c>
    </row>
    <row r="26" spans="1:40">
      <c r="A26" s="4" t="s">
        <v>277</v>
      </c>
      <c r="B26" s="4" t="s">
        <v>278</v>
      </c>
      <c r="C26" s="4" t="s">
        <v>279</v>
      </c>
      <c r="D26" s="4" t="s">
        <v>32</v>
      </c>
      <c r="E26" s="4" t="s">
        <v>27</v>
      </c>
      <c r="F26" s="5">
        <v>94117</v>
      </c>
      <c r="G26" s="51" t="s">
        <v>280</v>
      </c>
      <c r="H26" s="12" t="s">
        <v>281</v>
      </c>
      <c r="I26" s="5" t="s">
        <v>97</v>
      </c>
      <c r="J26" s="7" t="s">
        <v>252</v>
      </c>
      <c r="K26" s="5">
        <v>2</v>
      </c>
      <c r="L26" s="5">
        <v>1</v>
      </c>
      <c r="M26" s="5">
        <f t="shared" si="13"/>
        <v>2</v>
      </c>
      <c r="Q26" s="8" t="s">
        <v>493</v>
      </c>
      <c r="R26" s="8">
        <v>2</v>
      </c>
      <c r="S26" s="8" t="s">
        <v>30</v>
      </c>
      <c r="T26" s="8">
        <v>26</v>
      </c>
      <c r="U26" s="8">
        <v>1</v>
      </c>
      <c r="V26" s="8">
        <v>23</v>
      </c>
      <c r="W26" s="8">
        <v>26</v>
      </c>
      <c r="X26" s="8">
        <v>1</v>
      </c>
      <c r="Y26" s="8">
        <v>25</v>
      </c>
      <c r="Z26" s="8">
        <f>1000*(W26-T26)+100*(X26-U26)+(Y26-V26)</f>
        <v>2</v>
      </c>
      <c r="AA26" s="8">
        <v>8</v>
      </c>
      <c r="AC26" s="8" t="s">
        <v>523</v>
      </c>
      <c r="AE26" s="5">
        <f t="shared" si="0"/>
        <v>29618303</v>
      </c>
      <c r="AF26" s="5" t="b">
        <f t="shared" si="4"/>
        <v>1</v>
      </c>
      <c r="AG26" s="5" t="b">
        <f t="shared" si="5"/>
        <v>0</v>
      </c>
      <c r="AH26" s="5" t="b">
        <f t="shared" si="6"/>
        <v>0</v>
      </c>
      <c r="AI26" s="5" t="b">
        <f t="shared" si="7"/>
        <v>0</v>
      </c>
      <c r="AJ26" s="68">
        <f t="shared" si="1"/>
        <v>44583</v>
      </c>
      <c r="AK26" s="68">
        <f t="shared" si="2"/>
        <v>44585</v>
      </c>
      <c r="AL26" s="5">
        <f t="shared" si="8"/>
        <v>2</v>
      </c>
      <c r="AM26" s="5">
        <f t="shared" si="3"/>
        <v>8</v>
      </c>
      <c r="AN26" s="4">
        <f t="shared" si="9"/>
        <v>8</v>
      </c>
    </row>
    <row r="27" spans="1:40" ht="13">
      <c r="A27" s="26" t="s">
        <v>371</v>
      </c>
      <c r="B27" s="26" t="s">
        <v>372</v>
      </c>
      <c r="C27" s="4" t="s">
        <v>402</v>
      </c>
      <c r="D27" s="4" t="s">
        <v>32</v>
      </c>
      <c r="E27" s="4" t="s">
        <v>27</v>
      </c>
      <c r="F27" s="5">
        <v>94123</v>
      </c>
      <c r="G27" s="58" t="s">
        <v>395</v>
      </c>
      <c r="H27" s="27" t="s">
        <v>384</v>
      </c>
      <c r="I27" s="5" t="s">
        <v>390</v>
      </c>
      <c r="J27" s="7" t="s">
        <v>391</v>
      </c>
      <c r="K27" s="5">
        <v>2</v>
      </c>
      <c r="L27" s="5">
        <v>1</v>
      </c>
      <c r="M27" s="5">
        <f t="shared" si="13"/>
        <v>2</v>
      </c>
      <c r="Q27" s="8" t="s">
        <v>512</v>
      </c>
      <c r="R27" s="8">
        <v>3</v>
      </c>
      <c r="S27" s="8" t="s">
        <v>97</v>
      </c>
      <c r="T27" s="8">
        <v>26</v>
      </c>
      <c r="U27" s="8">
        <v>1</v>
      </c>
      <c r="V27" s="8">
        <v>23</v>
      </c>
      <c r="W27" s="8">
        <v>26</v>
      </c>
      <c r="X27" s="8">
        <v>1</v>
      </c>
      <c r="Y27" s="8">
        <v>25</v>
      </c>
      <c r="Z27" s="8">
        <f>1000*(W27-T27)+100*(X27-U27)+(Y27-V27)</f>
        <v>2</v>
      </c>
      <c r="AA27" s="8">
        <v>15</v>
      </c>
      <c r="AC27" s="8" t="s">
        <v>523</v>
      </c>
      <c r="AE27" s="5">
        <f t="shared" si="0"/>
        <v>30097345</v>
      </c>
      <c r="AF27" s="5" t="b">
        <f t="shared" si="4"/>
        <v>0</v>
      </c>
      <c r="AG27" s="5" t="b">
        <f t="shared" si="5"/>
        <v>0</v>
      </c>
      <c r="AH27" s="5" t="b">
        <f t="shared" si="6"/>
        <v>1</v>
      </c>
      <c r="AI27" s="5" t="b">
        <f t="shared" si="7"/>
        <v>0</v>
      </c>
      <c r="AJ27" s="68">
        <f t="shared" si="1"/>
        <v>44583</v>
      </c>
      <c r="AK27" s="68">
        <f t="shared" si="2"/>
        <v>44585</v>
      </c>
      <c r="AL27" s="5">
        <f t="shared" si="8"/>
        <v>3</v>
      </c>
      <c r="AM27" s="5">
        <f t="shared" si="3"/>
        <v>15</v>
      </c>
      <c r="AN27" s="4">
        <f t="shared" si="9"/>
        <v>15</v>
      </c>
    </row>
    <row r="28" spans="1:40">
      <c r="A28" s="4" t="s">
        <v>286</v>
      </c>
      <c r="B28" s="4" t="s">
        <v>287</v>
      </c>
      <c r="C28" s="4" t="s">
        <v>288</v>
      </c>
      <c r="D28" s="4" t="s">
        <v>289</v>
      </c>
      <c r="E28" s="4" t="s">
        <v>27</v>
      </c>
      <c r="F28" s="5">
        <v>94564</v>
      </c>
      <c r="G28" s="51" t="s">
        <v>290</v>
      </c>
      <c r="H28" s="12" t="s">
        <v>291</v>
      </c>
      <c r="I28" s="5" t="s">
        <v>97</v>
      </c>
      <c r="J28" s="7" t="s">
        <v>252</v>
      </c>
      <c r="K28" s="5">
        <v>2</v>
      </c>
      <c r="L28" s="5">
        <v>1</v>
      </c>
      <c r="M28" s="5">
        <f t="shared" si="13"/>
        <v>2</v>
      </c>
      <c r="Q28" s="8" t="s">
        <v>541</v>
      </c>
      <c r="R28" s="8">
        <v>1</v>
      </c>
      <c r="S28" s="8" t="s">
        <v>97</v>
      </c>
      <c r="T28" s="8">
        <v>26</v>
      </c>
      <c r="U28" s="8">
        <v>2</v>
      </c>
      <c r="V28" s="8">
        <v>6</v>
      </c>
      <c r="W28" s="8">
        <v>26</v>
      </c>
      <c r="X28" s="8">
        <v>2</v>
      </c>
      <c r="Y28" s="8">
        <v>8</v>
      </c>
      <c r="Z28" s="8">
        <f>1000*(W28-T28)+100*(X28-U28)+(Y28-V28)</f>
        <v>2</v>
      </c>
      <c r="AA28" s="8">
        <v>15</v>
      </c>
      <c r="AC28" s="8" t="s">
        <v>523</v>
      </c>
      <c r="AE28" s="5">
        <f t="shared" si="0"/>
        <v>30109983</v>
      </c>
      <c r="AF28" s="5" t="b">
        <f t="shared" si="4"/>
        <v>0</v>
      </c>
      <c r="AG28" s="5" t="b">
        <f t="shared" si="5"/>
        <v>0</v>
      </c>
      <c r="AH28" s="5" t="b">
        <f t="shared" si="6"/>
        <v>1</v>
      </c>
      <c r="AI28" s="5" t="b">
        <f t="shared" si="7"/>
        <v>0</v>
      </c>
      <c r="AJ28" s="68">
        <f t="shared" si="1"/>
        <v>44597</v>
      </c>
      <c r="AK28" s="68">
        <f t="shared" si="2"/>
        <v>44599</v>
      </c>
      <c r="AL28" s="5">
        <f t="shared" si="8"/>
        <v>1</v>
      </c>
      <c r="AM28" s="5">
        <f t="shared" si="3"/>
        <v>15</v>
      </c>
      <c r="AN28" s="4">
        <f t="shared" si="9"/>
        <v>15</v>
      </c>
    </row>
    <row r="29" spans="1:40" ht="12" thickBot="1">
      <c r="A29" s="39" t="s">
        <v>185</v>
      </c>
      <c r="B29" s="39" t="s">
        <v>186</v>
      </c>
      <c r="C29" s="39"/>
      <c r="D29" s="39"/>
      <c r="E29" s="39"/>
      <c r="F29" s="40"/>
      <c r="G29" s="64" t="s">
        <v>477</v>
      </c>
      <c r="H29" s="44" t="s">
        <v>197</v>
      </c>
      <c r="I29" s="40" t="s">
        <v>30</v>
      </c>
      <c r="J29" s="43" t="s">
        <v>201</v>
      </c>
      <c r="K29" s="40">
        <v>2</v>
      </c>
      <c r="L29" s="40">
        <v>1</v>
      </c>
      <c r="M29" s="40">
        <f t="shared" si="13"/>
        <v>2</v>
      </c>
      <c r="N29" s="42"/>
      <c r="O29" s="41"/>
      <c r="P29" s="41"/>
      <c r="Q29" s="41" t="s">
        <v>476</v>
      </c>
      <c r="R29" s="41">
        <v>1</v>
      </c>
      <c r="S29" s="41" t="s">
        <v>30</v>
      </c>
      <c r="T29" s="41">
        <v>26</v>
      </c>
      <c r="U29" s="41">
        <v>2</v>
      </c>
      <c r="V29" s="41">
        <v>27</v>
      </c>
      <c r="W29" s="41">
        <v>26</v>
      </c>
      <c r="X29" s="41">
        <v>3</v>
      </c>
      <c r="Y29" s="41">
        <v>1</v>
      </c>
      <c r="Z29" s="41">
        <v>2</v>
      </c>
      <c r="AA29" s="41">
        <v>5</v>
      </c>
      <c r="AB29" s="41"/>
      <c r="AC29" s="41" t="s">
        <v>523</v>
      </c>
      <c r="AE29" s="5">
        <f t="shared" si="0"/>
        <v>30111101</v>
      </c>
      <c r="AF29" s="5" t="b">
        <f t="shared" si="4"/>
        <v>1</v>
      </c>
      <c r="AG29" s="5" t="b">
        <f t="shared" si="5"/>
        <v>0</v>
      </c>
      <c r="AH29" s="5" t="b">
        <f t="shared" si="6"/>
        <v>0</v>
      </c>
      <c r="AI29" s="5" t="b">
        <f t="shared" si="7"/>
        <v>0</v>
      </c>
      <c r="AJ29" s="68">
        <f t="shared" si="1"/>
        <v>44618</v>
      </c>
      <c r="AK29" s="68">
        <f t="shared" si="2"/>
        <v>44620</v>
      </c>
      <c r="AL29" s="5">
        <f t="shared" si="8"/>
        <v>1</v>
      </c>
      <c r="AM29" s="5">
        <f t="shared" si="3"/>
        <v>5</v>
      </c>
      <c r="AN29" s="4">
        <f t="shared" si="9"/>
        <v>5</v>
      </c>
    </row>
    <row r="30" spans="1:40" ht="12" thickBot="1">
      <c r="A30" s="48" t="s">
        <v>185</v>
      </c>
      <c r="B30" s="48" t="s">
        <v>186</v>
      </c>
      <c r="C30" s="39"/>
      <c r="D30" s="39"/>
      <c r="E30" s="39"/>
      <c r="F30" s="40"/>
      <c r="G30" s="65" t="s">
        <v>477</v>
      </c>
      <c r="H30" s="54" t="s">
        <v>197</v>
      </c>
      <c r="I30" s="40" t="s">
        <v>30</v>
      </c>
      <c r="J30" s="43" t="s">
        <v>201</v>
      </c>
      <c r="K30" s="40">
        <v>2</v>
      </c>
      <c r="L30" s="40">
        <v>1</v>
      </c>
      <c r="M30" s="40">
        <f t="shared" si="13"/>
        <v>2</v>
      </c>
      <c r="N30" s="42"/>
      <c r="O30" s="41"/>
      <c r="P30" s="41"/>
      <c r="Q30" s="41" t="s">
        <v>476</v>
      </c>
      <c r="R30" s="41">
        <v>1</v>
      </c>
      <c r="S30" s="41" t="s">
        <v>133</v>
      </c>
      <c r="T30" s="41">
        <v>26</v>
      </c>
      <c r="U30" s="41">
        <v>3</v>
      </c>
      <c r="V30" s="41">
        <v>1</v>
      </c>
      <c r="W30" s="41">
        <v>26</v>
      </c>
      <c r="X30" s="41">
        <v>3</v>
      </c>
      <c r="Y30" s="41">
        <v>2</v>
      </c>
      <c r="Z30" s="41">
        <f>1000*(W30-T30)+100*(X30-U30)+(Y30-V30)</f>
        <v>1</v>
      </c>
      <c r="AA30" s="41">
        <v>5</v>
      </c>
      <c r="AB30" s="41"/>
      <c r="AC30" s="41" t="s">
        <v>523</v>
      </c>
      <c r="AE30" s="5">
        <f t="shared" si="0"/>
        <v>30111101</v>
      </c>
      <c r="AF30" s="5" t="b">
        <f t="shared" si="4"/>
        <v>0</v>
      </c>
      <c r="AG30" s="5" t="b">
        <f t="shared" si="5"/>
        <v>1</v>
      </c>
      <c r="AH30" s="5" t="b">
        <f t="shared" si="6"/>
        <v>0</v>
      </c>
      <c r="AI30" s="5" t="b">
        <f t="shared" si="7"/>
        <v>0</v>
      </c>
      <c r="AJ30" s="68">
        <f t="shared" si="1"/>
        <v>44620</v>
      </c>
      <c r="AK30" s="68">
        <f t="shared" si="2"/>
        <v>44621</v>
      </c>
      <c r="AL30" s="5">
        <f t="shared" si="8"/>
        <v>1</v>
      </c>
      <c r="AM30" s="5">
        <f t="shared" si="3"/>
        <v>5</v>
      </c>
      <c r="AN30" s="4">
        <f t="shared" si="9"/>
        <v>5</v>
      </c>
    </row>
    <row r="31" spans="1:40">
      <c r="A31" s="73" t="s">
        <v>268</v>
      </c>
      <c r="B31" s="73" t="s">
        <v>410</v>
      </c>
      <c r="C31" s="4" t="s">
        <v>269</v>
      </c>
      <c r="D31" s="4" t="s">
        <v>32</v>
      </c>
      <c r="E31" s="4" t="s">
        <v>27</v>
      </c>
      <c r="F31" s="5">
        <v>94122</v>
      </c>
      <c r="G31" s="51" t="s">
        <v>270</v>
      </c>
      <c r="H31" s="49" t="s">
        <v>411</v>
      </c>
      <c r="I31" s="5" t="s">
        <v>97</v>
      </c>
      <c r="J31" s="7" t="s">
        <v>252</v>
      </c>
      <c r="K31" s="5">
        <v>2</v>
      </c>
      <c r="L31" s="5">
        <v>1</v>
      </c>
      <c r="M31" s="5">
        <f t="shared" si="13"/>
        <v>2</v>
      </c>
      <c r="Q31" s="57" t="s">
        <v>530</v>
      </c>
      <c r="R31" s="8" t="s">
        <v>531</v>
      </c>
      <c r="S31" s="8" t="s">
        <v>97</v>
      </c>
      <c r="T31" s="8">
        <v>26</v>
      </c>
      <c r="U31" s="8">
        <v>3</v>
      </c>
      <c r="V31" s="8">
        <v>21</v>
      </c>
      <c r="W31" s="8">
        <v>26</v>
      </c>
      <c r="X31" s="8">
        <v>3</v>
      </c>
      <c r="Y31" s="8">
        <v>22</v>
      </c>
      <c r="Z31" s="8">
        <f>1000*(W31-T31)+100*(X31-U31)+(Y31-V31)</f>
        <v>1</v>
      </c>
      <c r="AA31" s="8">
        <v>4</v>
      </c>
      <c r="AC31" s="8" t="s">
        <v>523</v>
      </c>
      <c r="AD31" s="5" t="s">
        <v>539</v>
      </c>
      <c r="AE31" s="5">
        <f t="shared" si="0"/>
        <v>30111585</v>
      </c>
      <c r="AF31" s="5" t="b">
        <f t="shared" si="4"/>
        <v>0</v>
      </c>
      <c r="AG31" s="5" t="b">
        <f t="shared" si="5"/>
        <v>0</v>
      </c>
      <c r="AH31" s="5" t="b">
        <f t="shared" si="6"/>
        <v>1</v>
      </c>
      <c r="AI31" s="5" t="b">
        <f t="shared" si="7"/>
        <v>0</v>
      </c>
      <c r="AJ31" s="68">
        <f t="shared" si="1"/>
        <v>44640</v>
      </c>
      <c r="AK31" s="68">
        <f t="shared" si="2"/>
        <v>44641</v>
      </c>
      <c r="AL31" s="5">
        <f t="shared" si="8"/>
        <v>2</v>
      </c>
      <c r="AM31" s="5">
        <f t="shared" si="3"/>
        <v>4</v>
      </c>
      <c r="AN31" s="4">
        <f t="shared" si="9"/>
        <v>4</v>
      </c>
    </row>
    <row r="32" spans="1:40">
      <c r="A32" s="4" t="s">
        <v>195</v>
      </c>
      <c r="B32" s="4" t="s">
        <v>196</v>
      </c>
      <c r="G32" s="51" t="s">
        <v>494</v>
      </c>
      <c r="H32" s="55" t="s">
        <v>309</v>
      </c>
      <c r="I32" s="5" t="s">
        <v>30</v>
      </c>
      <c r="J32" s="7" t="s">
        <v>201</v>
      </c>
      <c r="K32" s="5">
        <v>2</v>
      </c>
      <c r="L32" s="5">
        <v>1</v>
      </c>
      <c r="M32" s="5">
        <f t="shared" si="13"/>
        <v>2</v>
      </c>
      <c r="Q32" s="8" t="s">
        <v>529</v>
      </c>
      <c r="R32" s="8" t="s">
        <v>526</v>
      </c>
      <c r="S32" s="8" t="s">
        <v>30</v>
      </c>
      <c r="T32" s="8">
        <v>26</v>
      </c>
      <c r="U32" s="8">
        <v>2</v>
      </c>
      <c r="V32" s="8">
        <v>27</v>
      </c>
      <c r="W32" s="8">
        <v>26</v>
      </c>
      <c r="X32" s="8">
        <v>3</v>
      </c>
      <c r="Y32" s="8">
        <v>1</v>
      </c>
      <c r="Z32" s="8">
        <v>2</v>
      </c>
      <c r="AA32" s="8">
        <v>7</v>
      </c>
      <c r="AC32" s="8" t="s">
        <v>523</v>
      </c>
      <c r="AD32" s="5" t="s">
        <v>539</v>
      </c>
      <c r="AE32" s="5">
        <f t="shared" si="0"/>
        <v>30118313</v>
      </c>
      <c r="AF32" s="5" t="b">
        <f t="shared" si="4"/>
        <v>1</v>
      </c>
      <c r="AG32" s="5" t="b">
        <f t="shared" si="5"/>
        <v>0</v>
      </c>
      <c r="AH32" s="5" t="b">
        <f t="shared" si="6"/>
        <v>0</v>
      </c>
      <c r="AI32" s="5" t="b">
        <f t="shared" si="7"/>
        <v>0</v>
      </c>
      <c r="AJ32" s="68">
        <f t="shared" si="1"/>
        <v>44618</v>
      </c>
      <c r="AK32" s="68">
        <f t="shared" si="2"/>
        <v>44620</v>
      </c>
      <c r="AL32" s="5">
        <f t="shared" si="8"/>
        <v>1</v>
      </c>
      <c r="AM32" s="5">
        <f t="shared" si="3"/>
        <v>7</v>
      </c>
      <c r="AN32" s="4">
        <f t="shared" si="9"/>
        <v>7</v>
      </c>
    </row>
    <row r="33" spans="1:40">
      <c r="A33" s="4" t="s">
        <v>119</v>
      </c>
      <c r="B33" s="4" t="s">
        <v>120</v>
      </c>
      <c r="C33" s="4" t="s">
        <v>121</v>
      </c>
      <c r="D33" s="4" t="s">
        <v>122</v>
      </c>
      <c r="E33" s="4" t="s">
        <v>27</v>
      </c>
      <c r="F33" s="5">
        <v>94043</v>
      </c>
      <c r="G33" s="51" t="s">
        <v>123</v>
      </c>
      <c r="H33" s="12" t="s">
        <v>124</v>
      </c>
      <c r="I33" s="5" t="s">
        <v>97</v>
      </c>
      <c r="J33" s="7" t="s">
        <v>107</v>
      </c>
      <c r="K33" s="5">
        <v>2</v>
      </c>
      <c r="L33" s="5">
        <v>1</v>
      </c>
      <c r="M33" s="5">
        <f t="shared" si="13"/>
        <v>2</v>
      </c>
      <c r="Q33" s="8" t="s">
        <v>473</v>
      </c>
      <c r="R33" s="8">
        <v>1</v>
      </c>
      <c r="S33" s="8" t="s">
        <v>97</v>
      </c>
      <c r="T33" s="8">
        <v>26</v>
      </c>
      <c r="U33" s="8">
        <v>4</v>
      </c>
      <c r="V33" s="8">
        <v>17</v>
      </c>
      <c r="W33" s="8">
        <v>26</v>
      </c>
      <c r="X33" s="8">
        <v>4</v>
      </c>
      <c r="Y33" s="8">
        <v>19</v>
      </c>
      <c r="Z33" s="8">
        <f>1000*(W33-T33)+100*(X33-U33)+(Y33-V33)</f>
        <v>2</v>
      </c>
      <c r="AA33" s="8">
        <v>15</v>
      </c>
      <c r="AB33" s="8" t="s">
        <v>466</v>
      </c>
      <c r="AC33" s="8" t="s">
        <v>523</v>
      </c>
      <c r="AE33" s="5">
        <f t="shared" si="0"/>
        <v>30129177</v>
      </c>
      <c r="AF33" s="5" t="b">
        <f t="shared" si="4"/>
        <v>0</v>
      </c>
      <c r="AG33" s="5" t="b">
        <f t="shared" si="5"/>
        <v>0</v>
      </c>
      <c r="AH33" s="5" t="b">
        <f t="shared" si="6"/>
        <v>1</v>
      </c>
      <c r="AI33" s="5" t="b">
        <f t="shared" si="7"/>
        <v>0</v>
      </c>
      <c r="AJ33" s="68">
        <f t="shared" si="1"/>
        <v>44667</v>
      </c>
      <c r="AK33" s="68">
        <f t="shared" si="2"/>
        <v>44669</v>
      </c>
      <c r="AL33" s="5">
        <f t="shared" si="8"/>
        <v>1</v>
      </c>
      <c r="AM33" s="5">
        <f t="shared" si="3"/>
        <v>15</v>
      </c>
      <c r="AN33" s="4">
        <f t="shared" si="9"/>
        <v>11</v>
      </c>
    </row>
    <row r="34" spans="1:40">
      <c r="A34" s="13" t="s">
        <v>158</v>
      </c>
      <c r="B34" s="13" t="s">
        <v>159</v>
      </c>
      <c r="C34" s="4" t="s">
        <v>172</v>
      </c>
      <c r="D34" s="4" t="s">
        <v>47</v>
      </c>
      <c r="E34" s="4" t="s">
        <v>27</v>
      </c>
      <c r="G34" s="51" t="s">
        <v>173</v>
      </c>
      <c r="H34" s="20" t="s">
        <v>165</v>
      </c>
      <c r="I34" s="5" t="s">
        <v>408</v>
      </c>
      <c r="J34" s="7" t="s">
        <v>166</v>
      </c>
      <c r="K34" s="5">
        <v>4</v>
      </c>
      <c r="L34" s="5">
        <v>1</v>
      </c>
      <c r="M34" s="5">
        <f t="shared" si="13"/>
        <v>4</v>
      </c>
      <c r="Q34" s="8" t="s">
        <v>484</v>
      </c>
      <c r="R34" s="8">
        <v>1</v>
      </c>
      <c r="S34" s="8" t="s">
        <v>133</v>
      </c>
      <c r="T34" s="8">
        <v>26</v>
      </c>
      <c r="U34" s="8">
        <v>3</v>
      </c>
      <c r="V34" s="8">
        <v>8</v>
      </c>
      <c r="W34" s="8">
        <v>26</v>
      </c>
      <c r="X34" s="8">
        <v>3</v>
      </c>
      <c r="Y34" s="8">
        <v>10</v>
      </c>
      <c r="Z34" s="8">
        <f>1000*(W34-T34)+100*(X34-U34)+(Y34-V34)</f>
        <v>2</v>
      </c>
      <c r="AA34" s="8">
        <v>5</v>
      </c>
      <c r="AC34" s="8" t="s">
        <v>523</v>
      </c>
      <c r="AE34" s="5">
        <f t="shared" ref="AE34:AE65" si="14">(CODE(MID(H34,1,1))-43)+(CODE(MID(H34,2,1))-43)*80+(CODE(MID(H34,3,1))-43)*80*80+(CODE(MID(H34,4,1))-43)*80*80*80</f>
        <v>31583107</v>
      </c>
      <c r="AF34" s="5" t="b">
        <f t="shared" si="4"/>
        <v>0</v>
      </c>
      <c r="AG34" s="5" t="b">
        <f t="shared" si="5"/>
        <v>1</v>
      </c>
      <c r="AH34" s="5" t="b">
        <f t="shared" si="6"/>
        <v>0</v>
      </c>
      <c r="AI34" s="5" t="b">
        <f t="shared" si="7"/>
        <v>0</v>
      </c>
      <c r="AJ34" s="68">
        <f t="shared" ref="AJ34:AJ65" si="15">DATE(T34+2000,U34,V34)</f>
        <v>44627</v>
      </c>
      <c r="AK34" s="68">
        <f t="shared" ref="AK34:AK65" si="16">DATE(2000+W34,X34,Y34)</f>
        <v>44629</v>
      </c>
      <c r="AL34" s="5">
        <f t="shared" si="8"/>
        <v>1</v>
      </c>
      <c r="AM34" s="5">
        <f t="shared" ref="AM34:AM65" si="17">AA34</f>
        <v>5</v>
      </c>
      <c r="AN34" s="4">
        <f t="shared" si="9"/>
        <v>5</v>
      </c>
    </row>
    <row r="35" spans="1:40">
      <c r="A35" s="45" t="s">
        <v>328</v>
      </c>
      <c r="B35" s="45" t="s">
        <v>329</v>
      </c>
      <c r="C35" s="39" t="s">
        <v>361</v>
      </c>
      <c r="D35" s="39"/>
      <c r="E35" s="39"/>
      <c r="F35" s="40"/>
      <c r="G35" s="67" t="s">
        <v>547</v>
      </c>
      <c r="H35" s="46" t="s">
        <v>344</v>
      </c>
      <c r="I35" s="40" t="s">
        <v>15</v>
      </c>
      <c r="J35" s="43" t="s">
        <v>252</v>
      </c>
      <c r="K35" s="40">
        <v>2</v>
      </c>
      <c r="L35" s="40">
        <v>1</v>
      </c>
      <c r="M35" s="40">
        <f t="shared" si="13"/>
        <v>2</v>
      </c>
      <c r="N35" s="42"/>
      <c r="O35" s="41"/>
      <c r="P35" s="41"/>
      <c r="Q35" s="41" t="s">
        <v>487</v>
      </c>
      <c r="R35" s="41">
        <v>1</v>
      </c>
      <c r="S35" s="41" t="s">
        <v>30</v>
      </c>
      <c r="T35" s="41">
        <v>26</v>
      </c>
      <c r="U35" s="41">
        <v>2</v>
      </c>
      <c r="V35" s="41">
        <v>5</v>
      </c>
      <c r="W35" s="41">
        <v>26</v>
      </c>
      <c r="X35" s="41">
        <v>2</v>
      </c>
      <c r="Y35" s="41">
        <v>7</v>
      </c>
      <c r="Z35" s="41">
        <f>1000*(W35-T35)+100*(X35-U35)+(Y35-V35)</f>
        <v>2</v>
      </c>
      <c r="AA35" s="41">
        <v>12</v>
      </c>
      <c r="AB35" s="41"/>
      <c r="AC35" s="41" t="s">
        <v>523</v>
      </c>
      <c r="AE35" s="5">
        <f t="shared" si="14"/>
        <v>31698303</v>
      </c>
      <c r="AF35" s="5" t="b">
        <f t="shared" si="4"/>
        <v>1</v>
      </c>
      <c r="AG35" s="5" t="b">
        <f t="shared" si="5"/>
        <v>0</v>
      </c>
      <c r="AH35" s="5" t="b">
        <f t="shared" si="6"/>
        <v>0</v>
      </c>
      <c r="AI35" s="5" t="b">
        <f t="shared" si="7"/>
        <v>0</v>
      </c>
      <c r="AJ35" s="68">
        <f t="shared" si="15"/>
        <v>44596</v>
      </c>
      <c r="AK35" s="68">
        <f t="shared" si="16"/>
        <v>44598</v>
      </c>
      <c r="AL35" s="5">
        <f t="shared" si="8"/>
        <v>1</v>
      </c>
      <c r="AM35" s="5">
        <f t="shared" si="17"/>
        <v>12</v>
      </c>
      <c r="AN35" s="4">
        <f t="shared" si="9"/>
        <v>12</v>
      </c>
    </row>
    <row r="36" spans="1:40">
      <c r="A36" s="45" t="s">
        <v>328</v>
      </c>
      <c r="B36" s="45" t="s">
        <v>329</v>
      </c>
      <c r="C36" s="39" t="s">
        <v>361</v>
      </c>
      <c r="D36" s="39"/>
      <c r="E36" s="39"/>
      <c r="F36" s="40"/>
      <c r="G36" s="64" t="s">
        <v>547</v>
      </c>
      <c r="H36" s="53" t="s">
        <v>344</v>
      </c>
      <c r="I36" s="40" t="s">
        <v>15</v>
      </c>
      <c r="J36" s="43" t="s">
        <v>252</v>
      </c>
      <c r="K36" s="40">
        <v>2</v>
      </c>
      <c r="L36" s="40">
        <v>1</v>
      </c>
      <c r="M36" s="40">
        <f t="shared" si="13"/>
        <v>2</v>
      </c>
      <c r="N36" s="42"/>
      <c r="O36" s="41"/>
      <c r="P36" s="41"/>
      <c r="Q36" s="41" t="s">
        <v>487</v>
      </c>
      <c r="R36" s="41">
        <v>1</v>
      </c>
      <c r="S36" s="41" t="s">
        <v>133</v>
      </c>
      <c r="T36" s="41">
        <v>26</v>
      </c>
      <c r="U36" s="41">
        <v>2</v>
      </c>
      <c r="V36" s="41">
        <v>7</v>
      </c>
      <c r="W36" s="41">
        <v>26</v>
      </c>
      <c r="X36" s="41">
        <v>2</v>
      </c>
      <c r="Y36" s="41">
        <v>8</v>
      </c>
      <c r="Z36" s="41">
        <f>1000*(W36-T36)+100*(X36-U36)+(Y36-V36)</f>
        <v>1</v>
      </c>
      <c r="AA36" s="41">
        <v>15</v>
      </c>
      <c r="AB36" s="41"/>
      <c r="AC36" s="41" t="s">
        <v>523</v>
      </c>
      <c r="AE36" s="5">
        <f t="shared" si="14"/>
        <v>31698303</v>
      </c>
      <c r="AF36" s="5" t="b">
        <f t="shared" si="4"/>
        <v>0</v>
      </c>
      <c r="AG36" s="5" t="b">
        <f t="shared" si="5"/>
        <v>1</v>
      </c>
      <c r="AH36" s="5" t="b">
        <f t="shared" si="6"/>
        <v>0</v>
      </c>
      <c r="AI36" s="5" t="b">
        <f t="shared" si="7"/>
        <v>0</v>
      </c>
      <c r="AJ36" s="68">
        <f t="shared" si="15"/>
        <v>44598</v>
      </c>
      <c r="AK36" s="68">
        <f t="shared" si="16"/>
        <v>44599</v>
      </c>
      <c r="AL36" s="5">
        <f t="shared" si="8"/>
        <v>1</v>
      </c>
      <c r="AM36" s="5">
        <f t="shared" si="17"/>
        <v>15</v>
      </c>
      <c r="AN36" s="4">
        <f t="shared" si="9"/>
        <v>15</v>
      </c>
    </row>
    <row r="37" spans="1:40">
      <c r="A37" s="38" t="s">
        <v>156</v>
      </c>
      <c r="B37" s="38" t="s">
        <v>157</v>
      </c>
      <c r="C37" s="39" t="s">
        <v>169</v>
      </c>
      <c r="D37" s="39" t="s">
        <v>170</v>
      </c>
      <c r="E37" s="39" t="s">
        <v>27</v>
      </c>
      <c r="F37" s="40">
        <v>94086</v>
      </c>
      <c r="G37" s="64" t="s">
        <v>171</v>
      </c>
      <c r="H37" s="42" t="s">
        <v>164</v>
      </c>
      <c r="I37" s="40" t="s">
        <v>97</v>
      </c>
      <c r="J37" s="43" t="s">
        <v>166</v>
      </c>
      <c r="K37" s="40">
        <v>2</v>
      </c>
      <c r="L37" s="40">
        <v>1</v>
      </c>
      <c r="M37" s="40">
        <f t="shared" si="13"/>
        <v>2</v>
      </c>
      <c r="N37" s="42"/>
      <c r="O37" s="41"/>
      <c r="P37" s="41" t="s">
        <v>436</v>
      </c>
      <c r="Q37" s="41" t="s">
        <v>459</v>
      </c>
      <c r="R37" s="41">
        <v>1</v>
      </c>
      <c r="S37" s="41" t="s">
        <v>30</v>
      </c>
      <c r="T37" s="41">
        <v>26</v>
      </c>
      <c r="U37" s="41">
        <v>3</v>
      </c>
      <c r="V37" s="41">
        <v>14</v>
      </c>
      <c r="W37" s="41">
        <v>26</v>
      </c>
      <c r="X37" s="41">
        <v>3</v>
      </c>
      <c r="Y37" s="41">
        <v>15</v>
      </c>
      <c r="Z37" s="41"/>
      <c r="AA37" s="41">
        <v>4</v>
      </c>
      <c r="AB37" s="41"/>
      <c r="AC37" s="41" t="s">
        <v>523</v>
      </c>
      <c r="AE37" s="5">
        <f t="shared" si="14"/>
        <v>32095336</v>
      </c>
      <c r="AF37" s="5" t="b">
        <f t="shared" si="4"/>
        <v>1</v>
      </c>
      <c r="AG37" s="5" t="b">
        <f t="shared" si="5"/>
        <v>0</v>
      </c>
      <c r="AH37" s="5" t="b">
        <f t="shared" si="6"/>
        <v>0</v>
      </c>
      <c r="AI37" s="5" t="b">
        <f t="shared" si="7"/>
        <v>0</v>
      </c>
      <c r="AJ37" s="68">
        <f t="shared" si="15"/>
        <v>44633</v>
      </c>
      <c r="AK37" s="68">
        <f t="shared" si="16"/>
        <v>44634</v>
      </c>
      <c r="AL37" s="5">
        <f t="shared" si="8"/>
        <v>1</v>
      </c>
      <c r="AM37" s="5">
        <f t="shared" si="17"/>
        <v>4</v>
      </c>
      <c r="AN37" s="4">
        <f t="shared" si="9"/>
        <v>4</v>
      </c>
    </row>
    <row r="38" spans="1:40">
      <c r="A38" s="38" t="s">
        <v>156</v>
      </c>
      <c r="B38" s="38" t="s">
        <v>157</v>
      </c>
      <c r="C38" s="39" t="s">
        <v>169</v>
      </c>
      <c r="D38" s="39" t="s">
        <v>170</v>
      </c>
      <c r="E38" s="39" t="s">
        <v>27</v>
      </c>
      <c r="F38" s="40">
        <v>94086</v>
      </c>
      <c r="G38" s="64" t="s">
        <v>171</v>
      </c>
      <c r="H38" s="42" t="s">
        <v>164</v>
      </c>
      <c r="I38" s="40" t="s">
        <v>97</v>
      </c>
      <c r="J38" s="43" t="s">
        <v>166</v>
      </c>
      <c r="K38" s="40">
        <v>2</v>
      </c>
      <c r="L38" s="40">
        <v>1</v>
      </c>
      <c r="M38" s="40">
        <f t="shared" si="13"/>
        <v>2</v>
      </c>
      <c r="N38" s="42"/>
      <c r="O38" s="41"/>
      <c r="P38" s="41" t="s">
        <v>436</v>
      </c>
      <c r="Q38" s="41" t="s">
        <v>459</v>
      </c>
      <c r="R38" s="41">
        <v>1</v>
      </c>
      <c r="S38" s="41" t="s">
        <v>133</v>
      </c>
      <c r="T38" s="41">
        <v>26</v>
      </c>
      <c r="U38" s="41">
        <v>3</v>
      </c>
      <c r="V38" s="41">
        <v>13</v>
      </c>
      <c r="W38" s="41">
        <v>26</v>
      </c>
      <c r="X38" s="41">
        <v>3</v>
      </c>
      <c r="Y38" s="41">
        <v>14</v>
      </c>
      <c r="Z38" s="41">
        <f>1000*(W38-T38)+100*(X38-U38)+(Y38-V38)</f>
        <v>1</v>
      </c>
      <c r="AA38" s="41">
        <v>4</v>
      </c>
      <c r="AB38" s="41"/>
      <c r="AC38" s="41" t="s">
        <v>523</v>
      </c>
      <c r="AE38" s="5">
        <f t="shared" si="14"/>
        <v>32095336</v>
      </c>
      <c r="AF38" s="5" t="b">
        <f t="shared" si="4"/>
        <v>0</v>
      </c>
      <c r="AG38" s="5" t="b">
        <f t="shared" si="5"/>
        <v>1</v>
      </c>
      <c r="AH38" s="5" t="b">
        <f t="shared" si="6"/>
        <v>0</v>
      </c>
      <c r="AI38" s="5" t="b">
        <f t="shared" si="7"/>
        <v>0</v>
      </c>
      <c r="AJ38" s="68">
        <f t="shared" si="15"/>
        <v>44632</v>
      </c>
      <c r="AK38" s="68">
        <f t="shared" si="16"/>
        <v>44633</v>
      </c>
      <c r="AL38" s="5">
        <f t="shared" si="8"/>
        <v>1</v>
      </c>
      <c r="AM38" s="5">
        <f t="shared" si="17"/>
        <v>4</v>
      </c>
      <c r="AN38" s="4">
        <f t="shared" si="9"/>
        <v>4</v>
      </c>
    </row>
    <row r="39" spans="1:40" ht="13">
      <c r="A39" s="26" t="s">
        <v>377</v>
      </c>
      <c r="B39" s="26" t="s">
        <v>378</v>
      </c>
      <c r="C39" s="4" t="s">
        <v>403</v>
      </c>
      <c r="G39" s="58" t="s">
        <v>398</v>
      </c>
      <c r="H39" s="27" t="s">
        <v>387</v>
      </c>
      <c r="I39" s="5" t="s">
        <v>390</v>
      </c>
      <c r="J39" s="7" t="s">
        <v>391</v>
      </c>
      <c r="K39" s="5">
        <v>2</v>
      </c>
      <c r="L39" s="5">
        <v>1</v>
      </c>
      <c r="M39" s="5">
        <f t="shared" si="13"/>
        <v>2</v>
      </c>
      <c r="Q39" s="8" t="s">
        <v>536</v>
      </c>
      <c r="R39" s="8" t="s">
        <v>526</v>
      </c>
      <c r="S39" s="8" t="s">
        <v>133</v>
      </c>
      <c r="T39" s="8">
        <v>26</v>
      </c>
      <c r="U39" s="8">
        <v>3</v>
      </c>
      <c r="V39" s="8">
        <v>28</v>
      </c>
      <c r="W39" s="8">
        <v>26</v>
      </c>
      <c r="X39" s="8">
        <v>3</v>
      </c>
      <c r="Y39" s="8">
        <v>30</v>
      </c>
      <c r="Z39" s="8">
        <f>1000*(W39-T39)+100*(X39-U39)+(Y39-V39)</f>
        <v>2</v>
      </c>
      <c r="AA39" s="8">
        <v>15</v>
      </c>
      <c r="AC39" s="8" t="s">
        <v>523</v>
      </c>
      <c r="AD39" s="5" t="s">
        <v>539</v>
      </c>
      <c r="AE39" s="5">
        <f t="shared" si="14"/>
        <v>32177177</v>
      </c>
      <c r="AF39" s="5" t="b">
        <f t="shared" si="4"/>
        <v>0</v>
      </c>
      <c r="AG39" s="5" t="b">
        <f t="shared" si="5"/>
        <v>1</v>
      </c>
      <c r="AH39" s="5" t="b">
        <f t="shared" si="6"/>
        <v>0</v>
      </c>
      <c r="AI39" s="5" t="b">
        <f t="shared" si="7"/>
        <v>0</v>
      </c>
      <c r="AJ39" s="68">
        <f t="shared" si="15"/>
        <v>44647</v>
      </c>
      <c r="AK39" s="68">
        <f t="shared" si="16"/>
        <v>44649</v>
      </c>
      <c r="AL39" s="5">
        <f t="shared" si="8"/>
        <v>1</v>
      </c>
      <c r="AM39" s="5">
        <f t="shared" si="17"/>
        <v>15</v>
      </c>
      <c r="AN39" s="4">
        <f t="shared" si="9"/>
        <v>15</v>
      </c>
    </row>
    <row r="40" spans="1:40">
      <c r="A40" s="4" t="s">
        <v>259</v>
      </c>
      <c r="B40" s="4" t="s">
        <v>260</v>
      </c>
      <c r="C40" s="4" t="s">
        <v>261</v>
      </c>
      <c r="D40" s="4" t="s">
        <v>36</v>
      </c>
      <c r="E40" s="4" t="s">
        <v>27</v>
      </c>
      <c r="F40" s="5">
        <v>94618</v>
      </c>
      <c r="G40" s="51" t="s">
        <v>262</v>
      </c>
      <c r="H40" s="12" t="s">
        <v>263</v>
      </c>
      <c r="I40" s="5" t="s">
        <v>97</v>
      </c>
      <c r="J40" s="7" t="s">
        <v>252</v>
      </c>
      <c r="K40" s="5">
        <v>2</v>
      </c>
      <c r="L40" s="5">
        <v>1</v>
      </c>
      <c r="M40" s="5">
        <f t="shared" si="13"/>
        <v>2</v>
      </c>
      <c r="Q40" s="8" t="s">
        <v>486</v>
      </c>
      <c r="R40" s="8">
        <v>1</v>
      </c>
      <c r="S40" s="8" t="s">
        <v>30</v>
      </c>
      <c r="T40" s="8">
        <v>26</v>
      </c>
      <c r="U40" s="8">
        <v>2</v>
      </c>
      <c r="V40" s="8">
        <v>20</v>
      </c>
      <c r="W40" s="8">
        <v>26</v>
      </c>
      <c r="X40" s="8">
        <v>2</v>
      </c>
      <c r="Y40" s="8">
        <v>22</v>
      </c>
      <c r="Z40" s="8">
        <f>1000*(W40-T40)+100*(X40-U40)+(Y40-V40)</f>
        <v>2</v>
      </c>
      <c r="AA40" s="8">
        <v>7</v>
      </c>
      <c r="AB40" s="8" t="s">
        <v>427</v>
      </c>
      <c r="AC40" s="8" t="s">
        <v>523</v>
      </c>
      <c r="AE40" s="5">
        <f t="shared" si="14"/>
        <v>32203336</v>
      </c>
      <c r="AF40" s="5" t="b">
        <f t="shared" si="4"/>
        <v>1</v>
      </c>
      <c r="AG40" s="5" t="b">
        <f t="shared" si="5"/>
        <v>0</v>
      </c>
      <c r="AH40" s="5" t="b">
        <f t="shared" si="6"/>
        <v>0</v>
      </c>
      <c r="AI40" s="5" t="b">
        <f t="shared" si="7"/>
        <v>0</v>
      </c>
      <c r="AJ40" s="68">
        <f t="shared" si="15"/>
        <v>44611</v>
      </c>
      <c r="AK40" s="68">
        <f t="shared" si="16"/>
        <v>44613</v>
      </c>
      <c r="AL40" s="5">
        <f t="shared" si="8"/>
        <v>1</v>
      </c>
      <c r="AM40" s="5">
        <f t="shared" si="17"/>
        <v>7</v>
      </c>
      <c r="AN40" s="4">
        <f t="shared" si="9"/>
        <v>7</v>
      </c>
    </row>
    <row r="41" spans="1:40">
      <c r="A41" s="13" t="s">
        <v>61</v>
      </c>
      <c r="B41" s="13" t="s">
        <v>62</v>
      </c>
      <c r="G41" s="51" t="s">
        <v>95</v>
      </c>
      <c r="H41" s="16" t="s">
        <v>87</v>
      </c>
      <c r="I41" s="5" t="s">
        <v>97</v>
      </c>
      <c r="J41" s="7" t="s">
        <v>98</v>
      </c>
      <c r="K41" s="5">
        <v>2</v>
      </c>
      <c r="L41" s="5">
        <v>1</v>
      </c>
      <c r="M41" s="5">
        <f t="shared" si="13"/>
        <v>2</v>
      </c>
      <c r="Q41" s="8" t="s">
        <v>488</v>
      </c>
      <c r="R41" s="8">
        <v>1</v>
      </c>
      <c r="S41" s="8" t="s">
        <v>97</v>
      </c>
      <c r="T41" s="8">
        <v>26</v>
      </c>
      <c r="U41" s="8">
        <v>3</v>
      </c>
      <c r="V41" s="8">
        <v>25</v>
      </c>
      <c r="W41" s="8">
        <v>26</v>
      </c>
      <c r="X41" s="8">
        <v>3</v>
      </c>
      <c r="Y41" s="8">
        <v>27</v>
      </c>
      <c r="Z41" s="8">
        <f>1000*(W41-T41)+100*(X41-U41)+(Y41-V41)</f>
        <v>2</v>
      </c>
      <c r="AA41" s="8">
        <v>2</v>
      </c>
      <c r="AB41" s="8" t="s">
        <v>427</v>
      </c>
      <c r="AC41" s="8" t="s">
        <v>523</v>
      </c>
      <c r="AE41" s="5">
        <f t="shared" si="14"/>
        <v>32203336</v>
      </c>
      <c r="AF41" s="5" t="b">
        <f t="shared" si="4"/>
        <v>0</v>
      </c>
      <c r="AG41" s="5" t="b">
        <f t="shared" si="5"/>
        <v>0</v>
      </c>
      <c r="AH41" s="5" t="b">
        <f t="shared" si="6"/>
        <v>1</v>
      </c>
      <c r="AI41" s="5" t="b">
        <f t="shared" si="7"/>
        <v>0</v>
      </c>
      <c r="AJ41" s="68">
        <f t="shared" si="15"/>
        <v>44644</v>
      </c>
      <c r="AK41" s="68">
        <f t="shared" si="16"/>
        <v>44646</v>
      </c>
      <c r="AL41" s="5">
        <f t="shared" si="8"/>
        <v>1</v>
      </c>
      <c r="AM41" s="5">
        <f t="shared" si="17"/>
        <v>2</v>
      </c>
      <c r="AN41" s="4">
        <f t="shared" si="9"/>
        <v>2</v>
      </c>
    </row>
    <row r="42" spans="1:40" ht="12" thickBot="1">
      <c r="A42" s="72" t="s">
        <v>14</v>
      </c>
      <c r="B42" s="72" t="s">
        <v>16</v>
      </c>
      <c r="G42" s="51" t="s">
        <v>442</v>
      </c>
      <c r="H42" s="10" t="s">
        <v>21</v>
      </c>
      <c r="I42" s="5" t="s">
        <v>15</v>
      </c>
      <c r="J42" s="7" t="s">
        <v>17</v>
      </c>
      <c r="K42" s="5">
        <v>1</v>
      </c>
      <c r="L42" s="5">
        <v>1</v>
      </c>
      <c r="M42" s="5">
        <f t="shared" si="13"/>
        <v>1</v>
      </c>
      <c r="N42" s="6" t="s">
        <v>18</v>
      </c>
      <c r="Q42" s="8" t="s">
        <v>441</v>
      </c>
      <c r="R42" s="8">
        <v>1</v>
      </c>
      <c r="S42" s="8" t="s">
        <v>30</v>
      </c>
      <c r="T42" s="8">
        <v>26</v>
      </c>
      <c r="U42" s="8">
        <v>4</v>
      </c>
      <c r="V42" s="8">
        <v>17</v>
      </c>
      <c r="W42" s="8">
        <v>26</v>
      </c>
      <c r="X42" s="8">
        <v>4</v>
      </c>
      <c r="Y42" s="8">
        <v>19</v>
      </c>
      <c r="Z42" s="8">
        <f>1000*(W42-T42)+100*(X42-U42)+(Y42-V42)</f>
        <v>2</v>
      </c>
      <c r="AA42" s="8">
        <v>6</v>
      </c>
      <c r="AB42" s="8" t="s">
        <v>427</v>
      </c>
      <c r="AC42" s="8" t="s">
        <v>523</v>
      </c>
      <c r="AE42" s="5">
        <f t="shared" si="14"/>
        <v>32222463</v>
      </c>
      <c r="AF42" s="5" t="b">
        <f t="shared" si="4"/>
        <v>1</v>
      </c>
      <c r="AG42" s="5" t="b">
        <f t="shared" si="5"/>
        <v>0</v>
      </c>
      <c r="AH42" s="5" t="b">
        <f t="shared" si="6"/>
        <v>0</v>
      </c>
      <c r="AI42" s="5" t="b">
        <f t="shared" si="7"/>
        <v>0</v>
      </c>
      <c r="AJ42" s="68">
        <f t="shared" si="15"/>
        <v>44667</v>
      </c>
      <c r="AK42" s="68">
        <f t="shared" si="16"/>
        <v>44669</v>
      </c>
      <c r="AL42" s="5">
        <f t="shared" si="8"/>
        <v>1</v>
      </c>
      <c r="AM42" s="5">
        <f t="shared" si="17"/>
        <v>6</v>
      </c>
      <c r="AN42" s="4">
        <f t="shared" si="9"/>
        <v>6</v>
      </c>
    </row>
    <row r="43" spans="1:40" ht="12" thickBot="1">
      <c r="A43" s="76" t="s">
        <v>148</v>
      </c>
      <c r="B43" s="76" t="s">
        <v>149</v>
      </c>
      <c r="C43" s="4" t="s">
        <v>177</v>
      </c>
      <c r="D43" s="4" t="s">
        <v>118</v>
      </c>
      <c r="E43" s="4" t="s">
        <v>27</v>
      </c>
      <c r="F43" s="5">
        <v>94062</v>
      </c>
      <c r="G43" s="63" t="s">
        <v>178</v>
      </c>
      <c r="H43" s="52" t="s">
        <v>160</v>
      </c>
      <c r="I43" s="5" t="s">
        <v>97</v>
      </c>
      <c r="J43" s="7" t="s">
        <v>166</v>
      </c>
      <c r="K43" s="5">
        <v>2</v>
      </c>
      <c r="L43" s="5">
        <v>1</v>
      </c>
      <c r="M43" s="5">
        <f t="shared" si="13"/>
        <v>2</v>
      </c>
      <c r="Q43" s="8" t="s">
        <v>470</v>
      </c>
      <c r="R43" s="8">
        <v>1</v>
      </c>
      <c r="S43" s="8" t="s">
        <v>97</v>
      </c>
      <c r="T43" s="8">
        <v>26</v>
      </c>
      <c r="U43" s="8">
        <v>2</v>
      </c>
      <c r="V43" s="8">
        <v>27</v>
      </c>
      <c r="W43" s="8">
        <v>26</v>
      </c>
      <c r="X43" s="8">
        <v>3</v>
      </c>
      <c r="Y43" s="8">
        <v>2</v>
      </c>
      <c r="Z43" s="8">
        <v>3</v>
      </c>
      <c r="AA43" s="8">
        <v>15</v>
      </c>
      <c r="AD43" s="5" t="s">
        <v>537</v>
      </c>
      <c r="AE43" s="5">
        <f t="shared" si="14"/>
        <v>32223105</v>
      </c>
      <c r="AF43" s="5" t="b">
        <f t="shared" si="4"/>
        <v>0</v>
      </c>
      <c r="AG43" s="5" t="b">
        <f t="shared" si="5"/>
        <v>0</v>
      </c>
      <c r="AH43" s="5" t="b">
        <f t="shared" si="6"/>
        <v>1</v>
      </c>
      <c r="AI43" s="5" t="b">
        <f t="shared" si="7"/>
        <v>0</v>
      </c>
      <c r="AJ43" s="68">
        <f t="shared" si="15"/>
        <v>44618</v>
      </c>
      <c r="AK43" s="68">
        <f t="shared" si="16"/>
        <v>44621</v>
      </c>
      <c r="AL43" s="5">
        <f t="shared" si="8"/>
        <v>1</v>
      </c>
      <c r="AM43" s="5">
        <f t="shared" si="17"/>
        <v>15</v>
      </c>
      <c r="AN43" s="4">
        <f t="shared" si="9"/>
        <v>15</v>
      </c>
    </row>
    <row r="44" spans="1:40">
      <c r="A44" s="4" t="s">
        <v>253</v>
      </c>
      <c r="B44" s="4" t="s">
        <v>254</v>
      </c>
      <c r="C44" s="4" t="s">
        <v>255</v>
      </c>
      <c r="D44" s="4" t="s">
        <v>256</v>
      </c>
      <c r="E44" s="4" t="s">
        <v>27</v>
      </c>
      <c r="F44" s="5">
        <v>94025</v>
      </c>
      <c r="G44" s="51" t="s">
        <v>257</v>
      </c>
      <c r="H44" s="12" t="s">
        <v>258</v>
      </c>
      <c r="I44" s="5" t="s">
        <v>97</v>
      </c>
      <c r="J44" s="7" t="s">
        <v>252</v>
      </c>
      <c r="K44" s="5">
        <v>2</v>
      </c>
      <c r="L44" s="5">
        <v>1</v>
      </c>
      <c r="M44" s="5">
        <f t="shared" si="13"/>
        <v>2</v>
      </c>
      <c r="Q44" s="8" t="s">
        <v>491</v>
      </c>
      <c r="R44" s="8">
        <v>4</v>
      </c>
      <c r="S44" s="8" t="s">
        <v>97</v>
      </c>
      <c r="T44" s="8">
        <v>26</v>
      </c>
      <c r="U44" s="8">
        <v>1</v>
      </c>
      <c r="V44" s="8">
        <v>1</v>
      </c>
      <c r="W44" s="8">
        <v>26</v>
      </c>
      <c r="X44" s="8">
        <v>1</v>
      </c>
      <c r="Y44" s="8">
        <v>3</v>
      </c>
      <c r="Z44" s="8">
        <f t="shared" ref="Z44:Z49" si="18">1000*(W44-T44)+100*(X44-U44)+(Y44-V44)</f>
        <v>2</v>
      </c>
      <c r="AA44" s="8">
        <v>6</v>
      </c>
      <c r="AB44" s="8" t="s">
        <v>432</v>
      </c>
      <c r="AC44" s="8" t="s">
        <v>523</v>
      </c>
      <c r="AE44" s="5">
        <f t="shared" si="14"/>
        <v>32241505</v>
      </c>
      <c r="AF44" s="5" t="b">
        <f t="shared" si="4"/>
        <v>0</v>
      </c>
      <c r="AG44" s="5" t="b">
        <f t="shared" si="5"/>
        <v>0</v>
      </c>
      <c r="AH44" s="5" t="b">
        <f t="shared" si="6"/>
        <v>1</v>
      </c>
      <c r="AI44" s="5" t="b">
        <f t="shared" si="7"/>
        <v>0</v>
      </c>
      <c r="AJ44" s="68">
        <f t="shared" si="15"/>
        <v>44561</v>
      </c>
      <c r="AK44" s="68">
        <f t="shared" si="16"/>
        <v>44563</v>
      </c>
      <c r="AL44" s="5">
        <f t="shared" si="8"/>
        <v>4</v>
      </c>
      <c r="AM44" s="5">
        <f t="shared" si="17"/>
        <v>6</v>
      </c>
      <c r="AN44" s="4">
        <f t="shared" si="9"/>
        <v>4</v>
      </c>
    </row>
    <row r="45" spans="1:40">
      <c r="A45" s="72" t="s">
        <v>154</v>
      </c>
      <c r="B45" s="72" t="s">
        <v>155</v>
      </c>
      <c r="C45" s="4" t="s">
        <v>175</v>
      </c>
      <c r="D45" s="4" t="s">
        <v>32</v>
      </c>
      <c r="E45" s="4" t="s">
        <v>27</v>
      </c>
      <c r="F45" s="5">
        <v>94110</v>
      </c>
      <c r="G45" s="79" t="s">
        <v>176</v>
      </c>
      <c r="H45" s="83" t="s">
        <v>163</v>
      </c>
      <c r="I45" s="5" t="s">
        <v>97</v>
      </c>
      <c r="J45" s="7" t="s">
        <v>166</v>
      </c>
      <c r="K45" s="5">
        <v>2</v>
      </c>
      <c r="L45" s="5">
        <v>1</v>
      </c>
      <c r="M45" s="5">
        <f t="shared" si="13"/>
        <v>2</v>
      </c>
      <c r="Q45" s="8" t="s">
        <v>506</v>
      </c>
      <c r="R45" s="8">
        <v>1</v>
      </c>
      <c r="S45" s="8" t="s">
        <v>30</v>
      </c>
      <c r="T45" s="8">
        <v>26</v>
      </c>
      <c r="U45" s="8">
        <v>3</v>
      </c>
      <c r="V45" s="8">
        <v>7</v>
      </c>
      <c r="W45" s="8">
        <v>26</v>
      </c>
      <c r="X45" s="8">
        <v>3</v>
      </c>
      <c r="Y45" s="8">
        <v>8</v>
      </c>
      <c r="Z45" s="8">
        <f t="shared" si="18"/>
        <v>1</v>
      </c>
      <c r="AA45" s="8">
        <v>12</v>
      </c>
      <c r="AB45" s="8" t="s">
        <v>496</v>
      </c>
      <c r="AC45" s="8" t="s">
        <v>523</v>
      </c>
      <c r="AE45" s="5">
        <f t="shared" si="14"/>
        <v>33131427</v>
      </c>
      <c r="AF45" s="5" t="b">
        <f t="shared" si="4"/>
        <v>1</v>
      </c>
      <c r="AG45" s="5" t="b">
        <f t="shared" si="5"/>
        <v>1</v>
      </c>
      <c r="AH45" s="5" t="b">
        <f t="shared" si="6"/>
        <v>1</v>
      </c>
      <c r="AI45" s="5" t="b">
        <f t="shared" si="7"/>
        <v>1</v>
      </c>
      <c r="AJ45" s="68">
        <f t="shared" si="15"/>
        <v>44626</v>
      </c>
      <c r="AK45" s="68">
        <f t="shared" si="16"/>
        <v>44627</v>
      </c>
      <c r="AL45" s="5">
        <f t="shared" si="8"/>
        <v>1</v>
      </c>
      <c r="AM45" s="5">
        <f t="shared" si="17"/>
        <v>12</v>
      </c>
      <c r="AN45" s="4">
        <f t="shared" si="9"/>
        <v>12</v>
      </c>
    </row>
    <row r="46" spans="1:40">
      <c r="A46" s="75" t="s">
        <v>57</v>
      </c>
      <c r="B46" s="75" t="s">
        <v>325</v>
      </c>
      <c r="C46" s="4" t="s">
        <v>357</v>
      </c>
      <c r="D46" s="4" t="s">
        <v>358</v>
      </c>
      <c r="E46" s="4" t="s">
        <v>27</v>
      </c>
      <c r="F46" s="5">
        <v>94965</v>
      </c>
      <c r="G46" s="79" t="s">
        <v>359</v>
      </c>
      <c r="H46" s="55" t="s">
        <v>342</v>
      </c>
      <c r="I46" s="5" t="s">
        <v>15</v>
      </c>
      <c r="J46" s="7" t="s">
        <v>252</v>
      </c>
      <c r="K46" s="5">
        <v>2</v>
      </c>
      <c r="L46" s="5">
        <v>1</v>
      </c>
      <c r="M46" s="5">
        <f t="shared" si="13"/>
        <v>2</v>
      </c>
      <c r="Q46" s="8" t="s">
        <v>511</v>
      </c>
      <c r="R46" s="8">
        <v>1</v>
      </c>
      <c r="S46" s="8" t="s">
        <v>30</v>
      </c>
      <c r="T46" s="8">
        <v>26</v>
      </c>
      <c r="U46" s="8">
        <v>2</v>
      </c>
      <c r="V46" s="8">
        <v>21</v>
      </c>
      <c r="W46" s="8">
        <v>26</v>
      </c>
      <c r="X46" s="8">
        <v>2</v>
      </c>
      <c r="Y46" s="8">
        <v>23</v>
      </c>
      <c r="Z46" s="8">
        <f t="shared" si="18"/>
        <v>2</v>
      </c>
      <c r="AA46" s="8">
        <v>10</v>
      </c>
      <c r="AD46" s="5" t="s">
        <v>537</v>
      </c>
      <c r="AE46" s="5">
        <f t="shared" si="14"/>
        <v>33131431</v>
      </c>
      <c r="AF46" s="5" t="b">
        <f t="shared" si="4"/>
        <v>1</v>
      </c>
      <c r="AG46" s="5" t="b">
        <f t="shared" si="5"/>
        <v>0</v>
      </c>
      <c r="AH46" s="5" t="b">
        <f t="shared" si="6"/>
        <v>0</v>
      </c>
      <c r="AI46" s="5" t="b">
        <f t="shared" si="7"/>
        <v>0</v>
      </c>
      <c r="AJ46" s="68">
        <f t="shared" si="15"/>
        <v>44612</v>
      </c>
      <c r="AK46" s="68">
        <f t="shared" si="16"/>
        <v>44614</v>
      </c>
      <c r="AL46" s="5">
        <f t="shared" si="8"/>
        <v>1</v>
      </c>
      <c r="AM46" s="5">
        <f t="shared" si="17"/>
        <v>10</v>
      </c>
      <c r="AN46" s="4">
        <f t="shared" si="9"/>
        <v>10</v>
      </c>
    </row>
    <row r="47" spans="1:40">
      <c r="A47" s="4" t="s">
        <v>282</v>
      </c>
      <c r="B47" s="4" t="s">
        <v>283</v>
      </c>
      <c r="C47" s="4" t="s">
        <v>284</v>
      </c>
      <c r="D47" s="4" t="s">
        <v>221</v>
      </c>
      <c r="E47" s="4" t="s">
        <v>27</v>
      </c>
      <c r="G47" s="51" t="s">
        <v>285</v>
      </c>
      <c r="H47" s="12" t="s">
        <v>414</v>
      </c>
      <c r="I47" s="5" t="s">
        <v>97</v>
      </c>
      <c r="J47" s="7" t="s">
        <v>252</v>
      </c>
      <c r="K47" s="5">
        <v>2</v>
      </c>
      <c r="L47" s="5">
        <v>1</v>
      </c>
      <c r="M47" s="5">
        <f t="shared" si="13"/>
        <v>2</v>
      </c>
      <c r="Q47" s="8" t="s">
        <v>503</v>
      </c>
      <c r="R47" s="8">
        <v>1</v>
      </c>
      <c r="S47" s="8" t="s">
        <v>15</v>
      </c>
      <c r="T47" s="8">
        <v>26</v>
      </c>
      <c r="U47" s="8">
        <v>3</v>
      </c>
      <c r="V47" s="8">
        <v>12</v>
      </c>
      <c r="W47" s="8">
        <v>26</v>
      </c>
      <c r="X47" s="8">
        <v>3</v>
      </c>
      <c r="Y47" s="8">
        <v>15</v>
      </c>
      <c r="Z47" s="8">
        <f t="shared" si="18"/>
        <v>3</v>
      </c>
      <c r="AA47" s="8">
        <v>15</v>
      </c>
      <c r="AC47" s="8" t="s">
        <v>523</v>
      </c>
      <c r="AE47" s="5">
        <f t="shared" si="14"/>
        <v>33182627</v>
      </c>
      <c r="AF47" s="5" t="b">
        <f t="shared" si="4"/>
        <v>0</v>
      </c>
      <c r="AG47" s="5" t="b">
        <f t="shared" si="5"/>
        <v>0</v>
      </c>
      <c r="AH47" s="5" t="b">
        <f t="shared" si="6"/>
        <v>0</v>
      </c>
      <c r="AI47" s="5" t="b">
        <f t="shared" si="7"/>
        <v>1</v>
      </c>
      <c r="AJ47" s="68">
        <f t="shared" si="15"/>
        <v>44631</v>
      </c>
      <c r="AK47" s="68">
        <f t="shared" si="16"/>
        <v>44634</v>
      </c>
      <c r="AL47" s="5">
        <f t="shared" si="8"/>
        <v>1</v>
      </c>
      <c r="AM47" s="5">
        <f t="shared" si="17"/>
        <v>15</v>
      </c>
      <c r="AN47" s="4">
        <f t="shared" si="9"/>
        <v>15</v>
      </c>
    </row>
    <row r="48" spans="1:40" ht="12" thickBot="1">
      <c r="A48" s="4" t="s">
        <v>61</v>
      </c>
      <c r="B48" s="4" t="s">
        <v>135</v>
      </c>
      <c r="C48" s="4" t="s">
        <v>136</v>
      </c>
      <c r="D48" s="4" t="s">
        <v>47</v>
      </c>
      <c r="E48" s="4" t="s">
        <v>27</v>
      </c>
      <c r="G48" s="51" t="s">
        <v>137</v>
      </c>
      <c r="H48" s="12" t="s">
        <v>145</v>
      </c>
      <c r="I48" s="5" t="s">
        <v>408</v>
      </c>
      <c r="J48" s="7" t="s">
        <v>134</v>
      </c>
      <c r="K48" s="5">
        <v>2</v>
      </c>
      <c r="L48" s="5">
        <v>1</v>
      </c>
      <c r="M48" s="5">
        <f t="shared" si="13"/>
        <v>2</v>
      </c>
      <c r="Q48" s="8" t="s">
        <v>474</v>
      </c>
      <c r="R48" s="8">
        <v>1</v>
      </c>
      <c r="S48" s="8" t="s">
        <v>133</v>
      </c>
      <c r="T48" s="8">
        <v>26</v>
      </c>
      <c r="U48" s="8">
        <v>1</v>
      </c>
      <c r="V48" s="8">
        <v>19</v>
      </c>
      <c r="W48" s="8">
        <v>26</v>
      </c>
      <c r="X48" s="8">
        <v>1</v>
      </c>
      <c r="Y48" s="8">
        <v>21</v>
      </c>
      <c r="Z48" s="8">
        <f t="shared" si="18"/>
        <v>2</v>
      </c>
      <c r="AA48" s="8">
        <v>6</v>
      </c>
      <c r="AC48" s="8" t="s">
        <v>523</v>
      </c>
      <c r="AE48" s="5">
        <f t="shared" si="14"/>
        <v>33701021</v>
      </c>
      <c r="AF48" s="5" t="b">
        <f t="shared" si="4"/>
        <v>0</v>
      </c>
      <c r="AG48" s="5" t="b">
        <f t="shared" si="5"/>
        <v>1</v>
      </c>
      <c r="AH48" s="5" t="b">
        <f t="shared" si="6"/>
        <v>0</v>
      </c>
      <c r="AI48" s="5" t="b">
        <f t="shared" si="7"/>
        <v>0</v>
      </c>
      <c r="AJ48" s="68">
        <f t="shared" si="15"/>
        <v>44579</v>
      </c>
      <c r="AK48" s="68">
        <f t="shared" si="16"/>
        <v>44581</v>
      </c>
      <c r="AL48" s="5">
        <f t="shared" si="8"/>
        <v>1</v>
      </c>
      <c r="AM48" s="5">
        <f t="shared" si="17"/>
        <v>6</v>
      </c>
      <c r="AN48" s="4">
        <f t="shared" si="9"/>
        <v>6</v>
      </c>
    </row>
    <row r="49" spans="1:40" ht="12" thickBot="1">
      <c r="A49" s="18" t="s">
        <v>316</v>
      </c>
      <c r="B49" s="18" t="s">
        <v>317</v>
      </c>
      <c r="C49" s="4" t="s">
        <v>348</v>
      </c>
      <c r="D49" s="4" t="s">
        <v>32</v>
      </c>
      <c r="E49" s="4" t="s">
        <v>27</v>
      </c>
      <c r="F49" s="5">
        <v>94112</v>
      </c>
      <c r="G49" s="51" t="s">
        <v>349</v>
      </c>
      <c r="H49" s="85" t="s">
        <v>336</v>
      </c>
      <c r="I49" s="5" t="s">
        <v>15</v>
      </c>
      <c r="J49" s="7" t="s">
        <v>252</v>
      </c>
      <c r="K49" s="5">
        <v>2</v>
      </c>
      <c r="L49" s="5">
        <v>1</v>
      </c>
      <c r="M49" s="5">
        <f t="shared" si="13"/>
        <v>2</v>
      </c>
      <c r="Q49" s="8" t="s">
        <v>450</v>
      </c>
      <c r="R49" s="8">
        <v>2</v>
      </c>
      <c r="S49" s="8" t="s">
        <v>133</v>
      </c>
      <c r="T49" s="8">
        <v>26</v>
      </c>
      <c r="U49" s="8">
        <v>3</v>
      </c>
      <c r="V49" s="8">
        <v>6</v>
      </c>
      <c r="W49" s="8">
        <v>26</v>
      </c>
      <c r="X49" s="8">
        <v>3</v>
      </c>
      <c r="Y49" s="8">
        <v>8</v>
      </c>
      <c r="Z49" s="8">
        <f t="shared" si="18"/>
        <v>2</v>
      </c>
      <c r="AA49" s="8">
        <v>6</v>
      </c>
      <c r="AC49" s="8" t="s">
        <v>523</v>
      </c>
      <c r="AE49" s="5">
        <f t="shared" si="14"/>
        <v>33701036</v>
      </c>
      <c r="AF49" s="5" t="b">
        <f t="shared" si="4"/>
        <v>0</v>
      </c>
      <c r="AG49" s="5" t="b">
        <f t="shared" si="5"/>
        <v>1</v>
      </c>
      <c r="AH49" s="5" t="b">
        <f t="shared" si="6"/>
        <v>0</v>
      </c>
      <c r="AI49" s="5" t="b">
        <f t="shared" si="7"/>
        <v>0</v>
      </c>
      <c r="AJ49" s="68">
        <f t="shared" si="15"/>
        <v>44625</v>
      </c>
      <c r="AK49" s="68">
        <f t="shared" si="16"/>
        <v>44627</v>
      </c>
      <c r="AL49" s="5">
        <f t="shared" si="8"/>
        <v>2</v>
      </c>
      <c r="AM49" s="5">
        <f t="shared" si="17"/>
        <v>6</v>
      </c>
      <c r="AN49" s="4">
        <f t="shared" si="9"/>
        <v>6</v>
      </c>
    </row>
    <row r="50" spans="1:40" ht="12" thickBot="1">
      <c r="A50" s="29" t="s">
        <v>548</v>
      </c>
      <c r="B50" s="29" t="s">
        <v>320</v>
      </c>
      <c r="G50" s="82" t="s">
        <v>550</v>
      </c>
      <c r="H50" s="50" t="s">
        <v>552</v>
      </c>
      <c r="I50" s="5" t="s">
        <v>15</v>
      </c>
      <c r="J50" s="7" t="s">
        <v>252</v>
      </c>
      <c r="M50" s="5">
        <v>2</v>
      </c>
      <c r="Q50" s="8" t="s">
        <v>549</v>
      </c>
      <c r="R50" s="8">
        <v>1</v>
      </c>
      <c r="S50" s="8" t="s">
        <v>30</v>
      </c>
      <c r="T50" s="8">
        <v>26</v>
      </c>
      <c r="U50" s="8">
        <v>3</v>
      </c>
      <c r="V50" s="8">
        <v>1</v>
      </c>
      <c r="W50" s="8">
        <v>26</v>
      </c>
      <c r="X50" s="8">
        <v>3</v>
      </c>
      <c r="Y50" s="8">
        <v>3</v>
      </c>
      <c r="Z50" s="8">
        <v>2</v>
      </c>
      <c r="AA50" s="8">
        <v>2</v>
      </c>
      <c r="AC50" s="8" t="s">
        <v>523</v>
      </c>
      <c r="AE50" s="5">
        <f t="shared" si="14"/>
        <v>33701501</v>
      </c>
      <c r="AF50" s="5" t="b">
        <f t="shared" si="4"/>
        <v>1</v>
      </c>
      <c r="AG50" s="5" t="b">
        <f t="shared" si="5"/>
        <v>0</v>
      </c>
      <c r="AH50" s="5" t="b">
        <f t="shared" si="6"/>
        <v>0</v>
      </c>
      <c r="AI50" s="5" t="b">
        <f t="shared" si="7"/>
        <v>0</v>
      </c>
      <c r="AJ50" s="68">
        <f t="shared" si="15"/>
        <v>44620</v>
      </c>
      <c r="AK50" s="68">
        <f t="shared" si="16"/>
        <v>44622</v>
      </c>
      <c r="AL50" s="5">
        <f t="shared" si="8"/>
        <v>1</v>
      </c>
      <c r="AM50" s="5">
        <f t="shared" si="17"/>
        <v>2</v>
      </c>
      <c r="AN50" s="4">
        <f t="shared" si="9"/>
        <v>2</v>
      </c>
    </row>
    <row r="51" spans="1:40">
      <c r="A51" s="4" t="s">
        <v>213</v>
      </c>
      <c r="B51" s="4" t="s">
        <v>532</v>
      </c>
      <c r="G51" s="51" t="s">
        <v>533</v>
      </c>
      <c r="H51" s="12" t="s">
        <v>534</v>
      </c>
      <c r="I51" s="5" t="s">
        <v>390</v>
      </c>
      <c r="J51" s="7" t="s">
        <v>391</v>
      </c>
      <c r="M51" s="5">
        <v>2</v>
      </c>
      <c r="Q51" s="8" t="s">
        <v>535</v>
      </c>
      <c r="R51" s="8">
        <v>6</v>
      </c>
      <c r="S51" s="8" t="s">
        <v>15</v>
      </c>
      <c r="T51" s="8">
        <v>26</v>
      </c>
      <c r="U51" s="8">
        <v>2</v>
      </c>
      <c r="V51" s="8">
        <v>27</v>
      </c>
      <c r="W51" s="8">
        <v>26</v>
      </c>
      <c r="X51" s="61">
        <v>3</v>
      </c>
      <c r="Y51" s="61">
        <v>1</v>
      </c>
      <c r="Z51" s="8">
        <v>2</v>
      </c>
      <c r="AA51" s="8">
        <v>15</v>
      </c>
      <c r="AC51" s="8" t="s">
        <v>523</v>
      </c>
      <c r="AE51" s="5">
        <f t="shared" si="14"/>
        <v>33721337</v>
      </c>
      <c r="AF51" s="5" t="b">
        <f t="shared" si="4"/>
        <v>0</v>
      </c>
      <c r="AG51" s="5" t="b">
        <f t="shared" si="5"/>
        <v>0</v>
      </c>
      <c r="AH51" s="5" t="b">
        <f t="shared" si="6"/>
        <v>0</v>
      </c>
      <c r="AI51" s="5" t="b">
        <f t="shared" si="7"/>
        <v>1</v>
      </c>
      <c r="AJ51" s="68">
        <f t="shared" si="15"/>
        <v>44618</v>
      </c>
      <c r="AK51" s="68">
        <f t="shared" si="16"/>
        <v>44620</v>
      </c>
      <c r="AL51" s="5">
        <f t="shared" si="8"/>
        <v>6</v>
      </c>
      <c r="AM51" s="5">
        <f t="shared" si="17"/>
        <v>15</v>
      </c>
      <c r="AN51" s="4">
        <f t="shared" si="9"/>
        <v>15</v>
      </c>
    </row>
    <row r="52" spans="1:40">
      <c r="A52" s="13" t="s">
        <v>152</v>
      </c>
      <c r="B52" s="13" t="s">
        <v>153</v>
      </c>
      <c r="C52" s="4" t="s">
        <v>167</v>
      </c>
      <c r="D52" s="4" t="s">
        <v>47</v>
      </c>
      <c r="E52" s="4" t="s">
        <v>27</v>
      </c>
      <c r="F52" s="5">
        <v>94710</v>
      </c>
      <c r="G52" s="51" t="s">
        <v>168</v>
      </c>
      <c r="H52" s="20" t="s">
        <v>162</v>
      </c>
      <c r="I52" s="5" t="s">
        <v>97</v>
      </c>
      <c r="J52" s="7" t="s">
        <v>166</v>
      </c>
      <c r="K52" s="5">
        <v>2</v>
      </c>
      <c r="L52" s="5">
        <v>1</v>
      </c>
      <c r="M52" s="5">
        <f>K52*L52</f>
        <v>2</v>
      </c>
      <c r="Q52" s="8" t="s">
        <v>431</v>
      </c>
      <c r="R52" s="8">
        <v>4</v>
      </c>
      <c r="S52" s="8" t="s">
        <v>15</v>
      </c>
      <c r="T52" s="8">
        <v>26</v>
      </c>
      <c r="U52" s="8">
        <v>2</v>
      </c>
      <c r="V52" s="8">
        <v>19</v>
      </c>
      <c r="W52" s="8">
        <v>26</v>
      </c>
      <c r="X52" s="8">
        <v>2</v>
      </c>
      <c r="Y52" s="8">
        <v>23</v>
      </c>
      <c r="Z52" s="8">
        <f t="shared" ref="Z52:Z61" si="19">1000*(W52-T52)+100*(X52-U52)+(Y52-V52)</f>
        <v>4</v>
      </c>
      <c r="AA52" s="8">
        <v>15</v>
      </c>
      <c r="AB52" s="8" t="s">
        <v>432</v>
      </c>
      <c r="AC52" s="8" t="s">
        <v>523</v>
      </c>
      <c r="AE52" s="5">
        <f t="shared" si="14"/>
        <v>34226706</v>
      </c>
      <c r="AF52" s="5" t="b">
        <f t="shared" si="4"/>
        <v>0</v>
      </c>
      <c r="AG52" s="5" t="b">
        <f t="shared" si="5"/>
        <v>0</v>
      </c>
      <c r="AH52" s="5" t="b">
        <f t="shared" si="6"/>
        <v>0</v>
      </c>
      <c r="AI52" s="5" t="b">
        <f t="shared" si="7"/>
        <v>1</v>
      </c>
      <c r="AJ52" s="68">
        <f t="shared" si="15"/>
        <v>44610</v>
      </c>
      <c r="AK52" s="68">
        <f t="shared" si="16"/>
        <v>44614</v>
      </c>
      <c r="AL52" s="5">
        <f t="shared" si="8"/>
        <v>4</v>
      </c>
      <c r="AM52" s="5">
        <f t="shared" si="17"/>
        <v>15</v>
      </c>
      <c r="AN52" s="4">
        <f t="shared" si="9"/>
        <v>11</v>
      </c>
    </row>
    <row r="53" spans="1:40">
      <c r="A53" s="22" t="s">
        <v>205</v>
      </c>
      <c r="B53" s="22" t="s">
        <v>206</v>
      </c>
      <c r="C53" s="4" t="s">
        <v>218</v>
      </c>
      <c r="D53" s="4" t="s">
        <v>32</v>
      </c>
      <c r="E53" s="4" t="s">
        <v>27</v>
      </c>
      <c r="F53" s="5">
        <v>94127</v>
      </c>
      <c r="G53" s="51" t="s">
        <v>219</v>
      </c>
      <c r="H53" s="12" t="s">
        <v>412</v>
      </c>
      <c r="I53" s="5" t="s">
        <v>133</v>
      </c>
      <c r="J53" s="7" t="s">
        <v>216</v>
      </c>
      <c r="K53" s="5">
        <v>2</v>
      </c>
      <c r="L53" s="5">
        <v>1</v>
      </c>
      <c r="M53" s="5">
        <f>K53*L53</f>
        <v>2</v>
      </c>
      <c r="Q53" s="8" t="s">
        <v>510</v>
      </c>
      <c r="R53" s="8">
        <v>1</v>
      </c>
      <c r="S53" s="8" t="s">
        <v>133</v>
      </c>
      <c r="T53" s="8">
        <v>26</v>
      </c>
      <c r="U53" s="8">
        <v>4</v>
      </c>
      <c r="V53" s="8">
        <v>10</v>
      </c>
      <c r="W53" s="8">
        <v>26</v>
      </c>
      <c r="X53" s="8">
        <v>4</v>
      </c>
      <c r="Y53" s="8">
        <v>12</v>
      </c>
      <c r="Z53" s="8">
        <f t="shared" si="19"/>
        <v>2</v>
      </c>
      <c r="AA53" s="8">
        <v>3</v>
      </c>
      <c r="AC53" s="8" t="s">
        <v>523</v>
      </c>
      <c r="AE53" s="5">
        <f t="shared" si="14"/>
        <v>34654536</v>
      </c>
      <c r="AF53" s="5" t="b">
        <f t="shared" si="4"/>
        <v>0</v>
      </c>
      <c r="AG53" s="5" t="b">
        <f t="shared" si="5"/>
        <v>1</v>
      </c>
      <c r="AH53" s="5" t="b">
        <f t="shared" si="6"/>
        <v>0</v>
      </c>
      <c r="AI53" s="5" t="b">
        <f t="shared" si="7"/>
        <v>0</v>
      </c>
      <c r="AJ53" s="68">
        <f t="shared" si="15"/>
        <v>44660</v>
      </c>
      <c r="AK53" s="68">
        <f t="shared" si="16"/>
        <v>44662</v>
      </c>
      <c r="AL53" s="5">
        <f t="shared" si="8"/>
        <v>1</v>
      </c>
      <c r="AM53" s="5">
        <f t="shared" si="17"/>
        <v>3</v>
      </c>
      <c r="AN53" s="4">
        <f t="shared" si="9"/>
        <v>3</v>
      </c>
    </row>
    <row r="54" spans="1:40">
      <c r="A54" s="13" t="s">
        <v>71</v>
      </c>
      <c r="B54" s="13" t="s">
        <v>70</v>
      </c>
      <c r="G54" s="15" t="s">
        <v>81</v>
      </c>
      <c r="H54" s="12" t="s">
        <v>407</v>
      </c>
      <c r="I54" s="5" t="s">
        <v>97</v>
      </c>
      <c r="J54" s="7" t="s">
        <v>98</v>
      </c>
      <c r="K54" s="5">
        <v>2</v>
      </c>
      <c r="L54" s="5">
        <v>1</v>
      </c>
      <c r="M54" s="5">
        <f>K54*L54</f>
        <v>2</v>
      </c>
      <c r="N54" s="12"/>
      <c r="Q54" s="8" t="s">
        <v>448</v>
      </c>
      <c r="R54" s="8">
        <v>1</v>
      </c>
      <c r="S54" s="8" t="s">
        <v>30</v>
      </c>
      <c r="T54" s="8">
        <v>26</v>
      </c>
      <c r="U54" s="8">
        <v>1</v>
      </c>
      <c r="V54" s="8">
        <v>21</v>
      </c>
      <c r="W54" s="8">
        <v>26</v>
      </c>
      <c r="X54" s="8">
        <v>1</v>
      </c>
      <c r="Y54" s="8">
        <v>25</v>
      </c>
      <c r="Z54" s="8">
        <f t="shared" si="19"/>
        <v>4</v>
      </c>
      <c r="AA54" s="8">
        <v>4</v>
      </c>
      <c r="AB54" s="8" t="s">
        <v>449</v>
      </c>
      <c r="AC54" s="8" t="s">
        <v>524</v>
      </c>
      <c r="AE54" s="5">
        <f t="shared" si="14"/>
        <v>34655911</v>
      </c>
      <c r="AF54" s="5" t="b">
        <f t="shared" si="4"/>
        <v>1</v>
      </c>
      <c r="AG54" s="5" t="b">
        <f t="shared" si="5"/>
        <v>1</v>
      </c>
      <c r="AH54" s="5" t="b">
        <f t="shared" si="6"/>
        <v>1</v>
      </c>
      <c r="AI54" s="5" t="b">
        <f t="shared" si="7"/>
        <v>1</v>
      </c>
      <c r="AJ54" s="68">
        <f t="shared" si="15"/>
        <v>44581</v>
      </c>
      <c r="AK54" s="68">
        <f t="shared" si="16"/>
        <v>44585</v>
      </c>
      <c r="AL54" s="5">
        <f t="shared" si="8"/>
        <v>1</v>
      </c>
      <c r="AM54" s="5">
        <f t="shared" si="17"/>
        <v>4</v>
      </c>
      <c r="AN54" s="4">
        <f t="shared" si="9"/>
        <v>4</v>
      </c>
    </row>
    <row r="55" spans="1:40">
      <c r="A55" s="4" t="s">
        <v>271</v>
      </c>
      <c r="B55" s="4" t="s">
        <v>272</v>
      </c>
      <c r="C55" s="4" t="s">
        <v>273</v>
      </c>
      <c r="D55" s="4" t="s">
        <v>274</v>
      </c>
      <c r="E55" s="4" t="s">
        <v>27</v>
      </c>
      <c r="F55" s="5">
        <v>95070</v>
      </c>
      <c r="G55" s="51" t="s">
        <v>275</v>
      </c>
      <c r="H55" s="12" t="s">
        <v>276</v>
      </c>
      <c r="I55" s="5" t="s">
        <v>97</v>
      </c>
      <c r="J55" s="7" t="s">
        <v>252</v>
      </c>
      <c r="K55" s="5">
        <v>2</v>
      </c>
      <c r="L55" s="5">
        <v>1</v>
      </c>
      <c r="M55" s="5">
        <f>K55*L55</f>
        <v>2</v>
      </c>
      <c r="P55" s="8" t="s">
        <v>436</v>
      </c>
      <c r="Q55" s="8" t="s">
        <v>513</v>
      </c>
      <c r="R55" s="8">
        <v>1</v>
      </c>
      <c r="S55" s="8" t="s">
        <v>97</v>
      </c>
      <c r="T55" s="8">
        <v>26</v>
      </c>
      <c r="U55" s="8">
        <v>2</v>
      </c>
      <c r="V55" s="8">
        <v>21</v>
      </c>
      <c r="W55" s="8">
        <v>26</v>
      </c>
      <c r="X55" s="8">
        <v>2</v>
      </c>
      <c r="Y55" s="8">
        <v>23</v>
      </c>
      <c r="Z55" s="8">
        <f t="shared" si="19"/>
        <v>2</v>
      </c>
      <c r="AA55" s="8">
        <v>10</v>
      </c>
      <c r="AC55" s="8" t="s">
        <v>523</v>
      </c>
      <c r="AE55" s="5">
        <f t="shared" si="14"/>
        <v>34680471</v>
      </c>
      <c r="AF55" s="5" t="b">
        <f t="shared" si="4"/>
        <v>0</v>
      </c>
      <c r="AG55" s="5" t="b">
        <f t="shared" si="5"/>
        <v>0</v>
      </c>
      <c r="AH55" s="5" t="b">
        <f t="shared" si="6"/>
        <v>1</v>
      </c>
      <c r="AI55" s="5" t="b">
        <f t="shared" si="7"/>
        <v>0</v>
      </c>
      <c r="AJ55" s="68">
        <f t="shared" si="15"/>
        <v>44612</v>
      </c>
      <c r="AK55" s="68">
        <f t="shared" si="16"/>
        <v>44614</v>
      </c>
      <c r="AL55" s="5">
        <f t="shared" si="8"/>
        <v>1</v>
      </c>
      <c r="AM55" s="5">
        <f t="shared" si="17"/>
        <v>10</v>
      </c>
      <c r="AN55" s="4">
        <f t="shared" si="9"/>
        <v>10</v>
      </c>
    </row>
    <row r="56" spans="1:40">
      <c r="A56" s="4" t="s">
        <v>44</v>
      </c>
      <c r="B56" s="4" t="s">
        <v>45</v>
      </c>
      <c r="C56" s="4" t="s">
        <v>46</v>
      </c>
      <c r="D56" s="4" t="s">
        <v>47</v>
      </c>
      <c r="E56" s="4" t="s">
        <v>27</v>
      </c>
      <c r="F56" s="5">
        <v>94709</v>
      </c>
      <c r="G56" s="51" t="s">
        <v>48</v>
      </c>
      <c r="H56" s="12" t="s">
        <v>54</v>
      </c>
      <c r="I56" s="5" t="s">
        <v>30</v>
      </c>
      <c r="J56" s="7" t="s">
        <v>31</v>
      </c>
      <c r="K56" s="5">
        <v>2</v>
      </c>
      <c r="L56" s="5">
        <v>1</v>
      </c>
      <c r="M56" s="5">
        <v>2</v>
      </c>
      <c r="Q56" s="8" t="s">
        <v>463</v>
      </c>
      <c r="R56" s="8">
        <v>1</v>
      </c>
      <c r="S56" s="8" t="s">
        <v>97</v>
      </c>
      <c r="T56" s="8">
        <v>26</v>
      </c>
      <c r="U56" s="8">
        <v>4</v>
      </c>
      <c r="V56" s="8">
        <v>3</v>
      </c>
      <c r="W56" s="8">
        <v>26</v>
      </c>
      <c r="X56" s="8">
        <v>4</v>
      </c>
      <c r="Y56" s="8">
        <v>5</v>
      </c>
      <c r="Z56" s="8">
        <f t="shared" si="19"/>
        <v>2</v>
      </c>
      <c r="AA56" s="8">
        <v>8</v>
      </c>
      <c r="AC56" s="8" t="s">
        <v>523</v>
      </c>
      <c r="AE56" s="5">
        <f t="shared" si="14"/>
        <v>34705185</v>
      </c>
      <c r="AF56" s="5" t="b">
        <f t="shared" si="4"/>
        <v>0</v>
      </c>
      <c r="AG56" s="5" t="b">
        <f t="shared" si="5"/>
        <v>0</v>
      </c>
      <c r="AH56" s="5" t="b">
        <f t="shared" si="6"/>
        <v>1</v>
      </c>
      <c r="AI56" s="5" t="b">
        <f t="shared" si="7"/>
        <v>0</v>
      </c>
      <c r="AJ56" s="68">
        <f t="shared" si="15"/>
        <v>44653</v>
      </c>
      <c r="AK56" s="68">
        <f t="shared" si="16"/>
        <v>44655</v>
      </c>
      <c r="AL56" s="5">
        <f t="shared" si="8"/>
        <v>1</v>
      </c>
      <c r="AM56" s="5">
        <f t="shared" si="17"/>
        <v>8</v>
      </c>
      <c r="AN56" s="4">
        <f t="shared" si="9"/>
        <v>8</v>
      </c>
    </row>
    <row r="57" spans="1:40">
      <c r="A57" s="30" t="s">
        <v>326</v>
      </c>
      <c r="B57" s="30" t="s">
        <v>327</v>
      </c>
      <c r="C57" s="4" t="s">
        <v>360</v>
      </c>
      <c r="G57" s="51" t="s">
        <v>516</v>
      </c>
      <c r="H57" s="24" t="s">
        <v>343</v>
      </c>
      <c r="I57" s="5" t="s">
        <v>15</v>
      </c>
      <c r="J57" s="7" t="s">
        <v>252</v>
      </c>
      <c r="K57" s="5">
        <v>2</v>
      </c>
      <c r="L57" s="5">
        <v>1</v>
      </c>
      <c r="M57" s="5">
        <f t="shared" ref="M57:M68" si="20">K57*L57</f>
        <v>2</v>
      </c>
      <c r="Q57" s="8" t="s">
        <v>515</v>
      </c>
      <c r="R57" s="8">
        <v>4</v>
      </c>
      <c r="S57" s="8" t="s">
        <v>30</v>
      </c>
      <c r="T57" s="8">
        <v>26</v>
      </c>
      <c r="U57" s="8">
        <v>2</v>
      </c>
      <c r="V57" s="8">
        <v>14</v>
      </c>
      <c r="W57" s="8">
        <v>26</v>
      </c>
      <c r="X57" s="8">
        <v>2</v>
      </c>
      <c r="Y57" s="8">
        <v>16</v>
      </c>
      <c r="Z57" s="8">
        <f t="shared" si="19"/>
        <v>2</v>
      </c>
      <c r="AA57" s="8">
        <v>15</v>
      </c>
      <c r="AB57" s="8" t="s">
        <v>466</v>
      </c>
      <c r="AC57" s="8" t="s">
        <v>523</v>
      </c>
      <c r="AE57" s="5">
        <f t="shared" si="14"/>
        <v>34706538</v>
      </c>
      <c r="AF57" s="5" t="b">
        <f t="shared" si="4"/>
        <v>1</v>
      </c>
      <c r="AG57" s="5" t="b">
        <f t="shared" si="5"/>
        <v>0</v>
      </c>
      <c r="AH57" s="5" t="b">
        <f t="shared" si="6"/>
        <v>0</v>
      </c>
      <c r="AI57" s="5" t="b">
        <f t="shared" si="7"/>
        <v>0</v>
      </c>
      <c r="AJ57" s="68">
        <f t="shared" si="15"/>
        <v>44605</v>
      </c>
      <c r="AK57" s="68">
        <f t="shared" si="16"/>
        <v>44607</v>
      </c>
      <c r="AL57" s="5">
        <f t="shared" si="8"/>
        <v>4</v>
      </c>
      <c r="AM57" s="5">
        <f t="shared" si="17"/>
        <v>15</v>
      </c>
      <c r="AN57" s="4">
        <f t="shared" si="9"/>
        <v>11</v>
      </c>
    </row>
    <row r="58" spans="1:40">
      <c r="A58" s="4" t="s">
        <v>189</v>
      </c>
      <c r="B58" s="4" t="s">
        <v>190</v>
      </c>
      <c r="G58" s="51" t="s">
        <v>522</v>
      </c>
      <c r="H58" s="12" t="s">
        <v>199</v>
      </c>
      <c r="I58" s="5" t="s">
        <v>30</v>
      </c>
      <c r="J58" s="7" t="s">
        <v>201</v>
      </c>
      <c r="K58" s="5">
        <v>2</v>
      </c>
      <c r="L58" s="5">
        <v>1</v>
      </c>
      <c r="M58" s="5">
        <f t="shared" si="20"/>
        <v>2</v>
      </c>
      <c r="Q58" s="8" t="s">
        <v>551</v>
      </c>
      <c r="R58" s="8" t="s">
        <v>526</v>
      </c>
      <c r="S58" s="8" t="s">
        <v>97</v>
      </c>
      <c r="T58" s="61">
        <v>26</v>
      </c>
      <c r="U58" s="61">
        <v>3</v>
      </c>
      <c r="V58" s="61">
        <v>8</v>
      </c>
      <c r="W58" s="61">
        <v>26</v>
      </c>
      <c r="X58" s="61">
        <v>3</v>
      </c>
      <c r="Y58" s="61">
        <v>10</v>
      </c>
      <c r="Z58" s="8">
        <f t="shared" si="19"/>
        <v>2</v>
      </c>
      <c r="AA58" s="8">
        <v>7</v>
      </c>
      <c r="AB58" s="8" t="s">
        <v>427</v>
      </c>
      <c r="AC58" s="8" t="s">
        <v>523</v>
      </c>
      <c r="AE58" s="5">
        <f t="shared" si="14"/>
        <v>34737193</v>
      </c>
      <c r="AF58" s="5" t="b">
        <f t="shared" si="4"/>
        <v>0</v>
      </c>
      <c r="AG58" s="5" t="b">
        <f t="shared" si="5"/>
        <v>0</v>
      </c>
      <c r="AH58" s="5" t="b">
        <f t="shared" si="6"/>
        <v>1</v>
      </c>
      <c r="AI58" s="5" t="b">
        <f t="shared" si="7"/>
        <v>0</v>
      </c>
      <c r="AJ58" s="68">
        <f t="shared" si="15"/>
        <v>44627</v>
      </c>
      <c r="AK58" s="68">
        <f t="shared" si="16"/>
        <v>44629</v>
      </c>
      <c r="AL58" s="5">
        <f t="shared" si="8"/>
        <v>1</v>
      </c>
      <c r="AM58" s="5">
        <f t="shared" si="17"/>
        <v>7</v>
      </c>
      <c r="AN58" s="4">
        <f t="shared" si="9"/>
        <v>7</v>
      </c>
    </row>
    <row r="59" spans="1:40">
      <c r="A59" s="4" t="s">
        <v>298</v>
      </c>
      <c r="B59" s="4" t="s">
        <v>299</v>
      </c>
      <c r="C59" s="4" t="s">
        <v>300</v>
      </c>
      <c r="D59" s="4" t="s">
        <v>47</v>
      </c>
      <c r="E59" s="4" t="s">
        <v>27</v>
      </c>
      <c r="F59" s="5">
        <v>94702</v>
      </c>
      <c r="G59" s="51" t="s">
        <v>301</v>
      </c>
      <c r="H59" s="12" t="s">
        <v>302</v>
      </c>
      <c r="I59" s="5" t="s">
        <v>97</v>
      </c>
      <c r="J59" s="7" t="s">
        <v>252</v>
      </c>
      <c r="K59" s="5">
        <v>2</v>
      </c>
      <c r="L59" s="5">
        <v>1</v>
      </c>
      <c r="M59" s="5">
        <f t="shared" si="20"/>
        <v>2</v>
      </c>
      <c r="Q59" s="8" t="s">
        <v>502</v>
      </c>
      <c r="R59" s="8">
        <v>1</v>
      </c>
      <c r="S59" s="8" t="s">
        <v>133</v>
      </c>
      <c r="T59" s="8">
        <v>26</v>
      </c>
      <c r="U59" s="8">
        <v>4</v>
      </c>
      <c r="V59" s="8">
        <v>3</v>
      </c>
      <c r="W59" s="8">
        <v>26</v>
      </c>
      <c r="X59" s="8">
        <v>4</v>
      </c>
      <c r="Y59" s="8">
        <v>5</v>
      </c>
      <c r="Z59" s="8">
        <f t="shared" si="19"/>
        <v>2</v>
      </c>
      <c r="AA59" s="8">
        <v>4</v>
      </c>
      <c r="AB59" s="8" t="s">
        <v>427</v>
      </c>
      <c r="AC59" s="8" t="s">
        <v>523</v>
      </c>
      <c r="AE59" s="5">
        <f t="shared" si="14"/>
        <v>34737503</v>
      </c>
      <c r="AF59" s="5" t="b">
        <f t="shared" si="4"/>
        <v>0</v>
      </c>
      <c r="AG59" s="5" t="b">
        <f t="shared" si="5"/>
        <v>1</v>
      </c>
      <c r="AH59" s="5" t="b">
        <f t="shared" si="6"/>
        <v>0</v>
      </c>
      <c r="AI59" s="5" t="b">
        <f t="shared" si="7"/>
        <v>0</v>
      </c>
      <c r="AJ59" s="68">
        <f t="shared" si="15"/>
        <v>44653</v>
      </c>
      <c r="AK59" s="68">
        <f t="shared" si="16"/>
        <v>44655</v>
      </c>
      <c r="AL59" s="5">
        <f t="shared" si="8"/>
        <v>1</v>
      </c>
      <c r="AM59" s="5">
        <f t="shared" si="17"/>
        <v>4</v>
      </c>
      <c r="AN59" s="4">
        <f t="shared" si="9"/>
        <v>4</v>
      </c>
    </row>
    <row r="60" spans="1:40">
      <c r="A60" s="72" t="s">
        <v>19</v>
      </c>
      <c r="B60" s="72" t="s">
        <v>20</v>
      </c>
      <c r="G60" s="51" t="s">
        <v>444</v>
      </c>
      <c r="H60" s="11" t="s">
        <v>22</v>
      </c>
      <c r="I60" s="5" t="s">
        <v>15</v>
      </c>
      <c r="J60" s="7" t="s">
        <v>17</v>
      </c>
      <c r="K60" s="5">
        <v>1</v>
      </c>
      <c r="L60" s="5">
        <v>1</v>
      </c>
      <c r="M60" s="5">
        <f t="shared" si="20"/>
        <v>1</v>
      </c>
      <c r="N60" s="6" t="s">
        <v>18</v>
      </c>
      <c r="Q60" s="8" t="s">
        <v>445</v>
      </c>
      <c r="R60" s="8">
        <v>1</v>
      </c>
      <c r="S60" s="8" t="s">
        <v>15</v>
      </c>
      <c r="T60" s="8">
        <v>26</v>
      </c>
      <c r="U60" s="8">
        <v>3</v>
      </c>
      <c r="V60" s="8">
        <v>27</v>
      </c>
      <c r="W60" s="8">
        <v>26</v>
      </c>
      <c r="X60" s="8">
        <v>3</v>
      </c>
      <c r="Y60" s="8">
        <v>29</v>
      </c>
      <c r="Z60" s="8">
        <f t="shared" si="19"/>
        <v>2</v>
      </c>
      <c r="AA60" s="8">
        <v>6</v>
      </c>
      <c r="AC60" s="8" t="s">
        <v>523</v>
      </c>
      <c r="AE60" s="5">
        <f t="shared" si="14"/>
        <v>34769183</v>
      </c>
      <c r="AF60" s="5" t="b">
        <f t="shared" si="4"/>
        <v>0</v>
      </c>
      <c r="AG60" s="5" t="b">
        <f t="shared" si="5"/>
        <v>0</v>
      </c>
      <c r="AH60" s="5" t="b">
        <f t="shared" si="6"/>
        <v>0</v>
      </c>
      <c r="AI60" s="5" t="b">
        <f t="shared" si="7"/>
        <v>1</v>
      </c>
      <c r="AJ60" s="68">
        <f t="shared" si="15"/>
        <v>44646</v>
      </c>
      <c r="AK60" s="68">
        <f t="shared" si="16"/>
        <v>44648</v>
      </c>
      <c r="AL60" s="5">
        <f t="shared" si="8"/>
        <v>1</v>
      </c>
      <c r="AM60" s="5">
        <f t="shared" si="17"/>
        <v>6</v>
      </c>
      <c r="AN60" s="4">
        <f t="shared" si="9"/>
        <v>6</v>
      </c>
    </row>
    <row r="61" spans="1:40">
      <c r="A61" s="73" t="s">
        <v>109</v>
      </c>
      <c r="B61" s="73" t="s">
        <v>110</v>
      </c>
      <c r="C61" s="4" t="s">
        <v>111</v>
      </c>
      <c r="D61" s="4" t="s">
        <v>32</v>
      </c>
      <c r="E61" s="4" t="s">
        <v>27</v>
      </c>
      <c r="F61" s="5">
        <v>94110</v>
      </c>
      <c r="G61" s="79" t="s">
        <v>112</v>
      </c>
      <c r="H61" s="49" t="s">
        <v>113</v>
      </c>
      <c r="I61" s="5" t="s">
        <v>97</v>
      </c>
      <c r="J61" s="7" t="s">
        <v>107</v>
      </c>
      <c r="K61" s="5">
        <v>2</v>
      </c>
      <c r="L61" s="5">
        <v>1</v>
      </c>
      <c r="M61" s="5">
        <f t="shared" si="20"/>
        <v>2</v>
      </c>
      <c r="Q61" s="8" t="s">
        <v>527</v>
      </c>
      <c r="R61" s="8" t="s">
        <v>526</v>
      </c>
      <c r="S61" s="8" t="s">
        <v>133</v>
      </c>
      <c r="T61" s="8">
        <v>26</v>
      </c>
      <c r="U61" s="8">
        <v>4</v>
      </c>
      <c r="V61" s="8">
        <v>4</v>
      </c>
      <c r="W61" s="8">
        <v>26</v>
      </c>
      <c r="X61" s="8">
        <v>4</v>
      </c>
      <c r="Y61" s="8">
        <v>6</v>
      </c>
      <c r="Z61" s="8">
        <f t="shared" si="19"/>
        <v>2</v>
      </c>
      <c r="AA61" s="8">
        <v>9</v>
      </c>
      <c r="AC61" s="8" t="s">
        <v>523</v>
      </c>
      <c r="AD61" s="5" t="s">
        <v>539</v>
      </c>
      <c r="AE61" s="5">
        <f t="shared" si="14"/>
        <v>34808935</v>
      </c>
      <c r="AF61" s="5" t="b">
        <f t="shared" si="4"/>
        <v>0</v>
      </c>
      <c r="AG61" s="5" t="b">
        <f t="shared" si="5"/>
        <v>1</v>
      </c>
      <c r="AH61" s="5" t="b">
        <f t="shared" si="6"/>
        <v>0</v>
      </c>
      <c r="AI61" s="5" t="b">
        <f t="shared" si="7"/>
        <v>0</v>
      </c>
      <c r="AJ61" s="68">
        <f t="shared" si="15"/>
        <v>44654</v>
      </c>
      <c r="AK61" s="68">
        <f t="shared" si="16"/>
        <v>44656</v>
      </c>
      <c r="AL61" s="5">
        <f t="shared" si="8"/>
        <v>1</v>
      </c>
      <c r="AM61" s="5">
        <f t="shared" si="17"/>
        <v>9</v>
      </c>
      <c r="AN61" s="4">
        <f t="shared" si="9"/>
        <v>9</v>
      </c>
    </row>
    <row r="62" spans="1:40">
      <c r="A62" s="4" t="s">
        <v>191</v>
      </c>
      <c r="B62" s="4" t="s">
        <v>192</v>
      </c>
      <c r="G62" s="51" t="s">
        <v>455</v>
      </c>
      <c r="H62" s="12" t="s">
        <v>200</v>
      </c>
      <c r="I62" s="5" t="s">
        <v>30</v>
      </c>
      <c r="J62" s="7" t="s">
        <v>201</v>
      </c>
      <c r="K62" s="5">
        <v>2</v>
      </c>
      <c r="L62" s="5">
        <v>1</v>
      </c>
      <c r="M62" s="5">
        <f t="shared" si="20"/>
        <v>2</v>
      </c>
      <c r="Q62" s="8" t="s">
        <v>456</v>
      </c>
      <c r="R62" s="8">
        <v>1</v>
      </c>
      <c r="S62" s="8" t="s">
        <v>30</v>
      </c>
      <c r="T62" s="8">
        <v>26</v>
      </c>
      <c r="U62" s="8">
        <v>1</v>
      </c>
      <c r="V62" s="8">
        <v>30</v>
      </c>
      <c r="W62" s="8">
        <v>26</v>
      </c>
      <c r="X62" s="8">
        <v>2</v>
      </c>
      <c r="Y62" s="8">
        <v>1</v>
      </c>
      <c r="Z62" s="8">
        <v>2</v>
      </c>
      <c r="AA62" s="8">
        <v>6</v>
      </c>
      <c r="AC62" s="8" t="s">
        <v>523</v>
      </c>
      <c r="AE62" s="5">
        <f t="shared" si="14"/>
        <v>35210793</v>
      </c>
      <c r="AF62" s="5" t="b">
        <f t="shared" si="4"/>
        <v>1</v>
      </c>
      <c r="AG62" s="5" t="b">
        <f t="shared" si="5"/>
        <v>0</v>
      </c>
      <c r="AH62" s="5" t="b">
        <f t="shared" si="6"/>
        <v>0</v>
      </c>
      <c r="AI62" s="5" t="b">
        <f t="shared" si="7"/>
        <v>0</v>
      </c>
      <c r="AJ62" s="68">
        <f t="shared" si="15"/>
        <v>44590</v>
      </c>
      <c r="AK62" s="68">
        <f t="shared" si="16"/>
        <v>44592</v>
      </c>
      <c r="AL62" s="5">
        <f t="shared" si="8"/>
        <v>1</v>
      </c>
      <c r="AM62" s="5">
        <f t="shared" si="17"/>
        <v>6</v>
      </c>
      <c r="AN62" s="4">
        <f t="shared" si="9"/>
        <v>6</v>
      </c>
    </row>
    <row r="63" spans="1:40">
      <c r="A63" s="4" t="s">
        <v>249</v>
      </c>
      <c r="B63" s="4" t="s">
        <v>250</v>
      </c>
      <c r="C63" s="4" t="s">
        <v>300</v>
      </c>
      <c r="D63" s="4" t="s">
        <v>47</v>
      </c>
      <c r="E63" s="4" t="s">
        <v>27</v>
      </c>
      <c r="F63" s="5">
        <v>94702</v>
      </c>
      <c r="G63" s="51" t="s">
        <v>499</v>
      </c>
      <c r="H63" s="12" t="s">
        <v>251</v>
      </c>
      <c r="I63" s="5" t="s">
        <v>97</v>
      </c>
      <c r="J63" s="7" t="s">
        <v>252</v>
      </c>
      <c r="K63" s="5">
        <v>2</v>
      </c>
      <c r="L63" s="5">
        <v>1</v>
      </c>
      <c r="M63" s="5">
        <f t="shared" si="20"/>
        <v>2</v>
      </c>
      <c r="N63" s="6" t="s">
        <v>202</v>
      </c>
      <c r="O63" s="8" t="s">
        <v>435</v>
      </c>
      <c r="Q63" s="8" t="s">
        <v>500</v>
      </c>
      <c r="R63" s="8">
        <v>1</v>
      </c>
      <c r="S63" s="8" t="s">
        <v>97</v>
      </c>
      <c r="T63" s="8">
        <v>26</v>
      </c>
      <c r="U63" s="8">
        <v>4</v>
      </c>
      <c r="V63" s="8">
        <v>10</v>
      </c>
      <c r="W63" s="8">
        <v>26</v>
      </c>
      <c r="X63" s="8">
        <v>4</v>
      </c>
      <c r="Y63" s="8">
        <v>12</v>
      </c>
      <c r="Z63" s="8">
        <f>1000*(W63-T63)+100*(X63-U63)+(Y63-V63)</f>
        <v>2</v>
      </c>
      <c r="AA63" s="8">
        <v>15</v>
      </c>
      <c r="AB63" s="8" t="s">
        <v>427</v>
      </c>
      <c r="AC63" s="8" t="s">
        <v>523</v>
      </c>
      <c r="AE63" s="5">
        <f t="shared" si="14"/>
        <v>35244304</v>
      </c>
      <c r="AF63" s="5" t="b">
        <f t="shared" si="4"/>
        <v>0</v>
      </c>
      <c r="AG63" s="5" t="b">
        <f t="shared" si="5"/>
        <v>0</v>
      </c>
      <c r="AH63" s="5" t="b">
        <f t="shared" si="6"/>
        <v>1</v>
      </c>
      <c r="AI63" s="5" t="b">
        <f t="shared" si="7"/>
        <v>0</v>
      </c>
      <c r="AJ63" s="68">
        <f t="shared" si="15"/>
        <v>44660</v>
      </c>
      <c r="AK63" s="68">
        <f t="shared" si="16"/>
        <v>44662</v>
      </c>
      <c r="AL63" s="5">
        <f t="shared" si="8"/>
        <v>1</v>
      </c>
      <c r="AM63" s="5">
        <f t="shared" si="17"/>
        <v>15</v>
      </c>
      <c r="AN63" s="4">
        <f t="shared" si="9"/>
        <v>15</v>
      </c>
    </row>
    <row r="64" spans="1:40">
      <c r="A64" s="22" t="s">
        <v>139</v>
      </c>
      <c r="B64" s="22" t="s">
        <v>207</v>
      </c>
      <c r="C64" s="4" t="s">
        <v>232</v>
      </c>
      <c r="D64" s="4" t="s">
        <v>51</v>
      </c>
      <c r="E64" s="4" t="s">
        <v>27</v>
      </c>
      <c r="F64" s="5">
        <v>96150</v>
      </c>
      <c r="G64" s="51" t="s">
        <v>230</v>
      </c>
      <c r="H64" s="12" t="s">
        <v>231</v>
      </c>
      <c r="I64" s="5" t="s">
        <v>133</v>
      </c>
      <c r="J64" s="7" t="s">
        <v>216</v>
      </c>
      <c r="K64" s="5">
        <v>2</v>
      </c>
      <c r="L64" s="5">
        <v>1</v>
      </c>
      <c r="M64" s="5">
        <f t="shared" si="20"/>
        <v>2</v>
      </c>
      <c r="Q64" s="8" t="s">
        <v>505</v>
      </c>
      <c r="R64" s="8">
        <v>1</v>
      </c>
      <c r="S64" s="8" t="s">
        <v>97</v>
      </c>
      <c r="T64" s="8">
        <v>26</v>
      </c>
      <c r="U64" s="8">
        <v>2</v>
      </c>
      <c r="V64" s="8">
        <v>14</v>
      </c>
      <c r="W64" s="8">
        <v>26</v>
      </c>
      <c r="X64" s="8">
        <v>2</v>
      </c>
      <c r="Y64" s="8">
        <v>17</v>
      </c>
      <c r="Z64" s="8">
        <f>1000*(W64-T64)+100*(X64-U64)+(Y64-V64)</f>
        <v>3</v>
      </c>
      <c r="AA64" s="8">
        <v>15</v>
      </c>
      <c r="AC64" s="8" t="s">
        <v>523</v>
      </c>
      <c r="AE64" s="5">
        <f t="shared" si="14"/>
        <v>35261984</v>
      </c>
      <c r="AF64" s="5" t="b">
        <f t="shared" si="4"/>
        <v>0</v>
      </c>
      <c r="AG64" s="5" t="b">
        <f t="shared" si="5"/>
        <v>0</v>
      </c>
      <c r="AH64" s="5" t="b">
        <f t="shared" si="6"/>
        <v>1</v>
      </c>
      <c r="AI64" s="5" t="b">
        <f t="shared" si="7"/>
        <v>0</v>
      </c>
      <c r="AJ64" s="68">
        <f t="shared" si="15"/>
        <v>44605</v>
      </c>
      <c r="AK64" s="68">
        <f t="shared" si="16"/>
        <v>44608</v>
      </c>
      <c r="AL64" s="5">
        <f t="shared" si="8"/>
        <v>1</v>
      </c>
      <c r="AM64" s="5">
        <f t="shared" si="17"/>
        <v>15</v>
      </c>
      <c r="AN64" s="4">
        <f t="shared" si="9"/>
        <v>15</v>
      </c>
    </row>
    <row r="65" spans="1:40">
      <c r="A65" s="4" t="s">
        <v>125</v>
      </c>
      <c r="B65" s="4" t="s">
        <v>126</v>
      </c>
      <c r="C65" s="4" t="s">
        <v>103</v>
      </c>
      <c r="D65" s="4" t="s">
        <v>99</v>
      </c>
      <c r="E65" s="4" t="s">
        <v>27</v>
      </c>
      <c r="F65" s="5">
        <v>94306</v>
      </c>
      <c r="G65" s="51" t="s">
        <v>127</v>
      </c>
      <c r="H65" s="12" t="s">
        <v>128</v>
      </c>
      <c r="I65" s="5" t="s">
        <v>408</v>
      </c>
      <c r="J65" s="7" t="s">
        <v>107</v>
      </c>
      <c r="K65" s="5">
        <v>9</v>
      </c>
      <c r="L65" s="5">
        <v>1</v>
      </c>
      <c r="M65" s="5">
        <f t="shared" si="20"/>
        <v>9</v>
      </c>
      <c r="Q65" s="8" t="s">
        <v>468</v>
      </c>
      <c r="R65" s="8">
        <v>1</v>
      </c>
      <c r="S65" s="8" t="s">
        <v>133</v>
      </c>
      <c r="T65" s="8">
        <v>26</v>
      </c>
      <c r="U65" s="8">
        <v>2</v>
      </c>
      <c r="V65" s="8">
        <v>14</v>
      </c>
      <c r="W65" s="8">
        <v>26</v>
      </c>
      <c r="X65" s="8">
        <v>2</v>
      </c>
      <c r="Y65" s="8">
        <v>16</v>
      </c>
      <c r="Z65" s="8">
        <f>1000*(W65-T65)+100*(X65-U65)+(Y65-V65)</f>
        <v>2</v>
      </c>
      <c r="AA65" s="8">
        <v>15</v>
      </c>
      <c r="AC65" s="8" t="s">
        <v>523</v>
      </c>
      <c r="AE65" s="5">
        <f t="shared" si="14"/>
        <v>35275115</v>
      </c>
      <c r="AF65" s="5" t="b">
        <f t="shared" si="4"/>
        <v>0</v>
      </c>
      <c r="AG65" s="5" t="b">
        <f t="shared" si="5"/>
        <v>1</v>
      </c>
      <c r="AH65" s="5" t="b">
        <f t="shared" si="6"/>
        <v>0</v>
      </c>
      <c r="AI65" s="5" t="b">
        <f t="shared" si="7"/>
        <v>0</v>
      </c>
      <c r="AJ65" s="68">
        <f t="shared" si="15"/>
        <v>44605</v>
      </c>
      <c r="AK65" s="68">
        <f t="shared" si="16"/>
        <v>44607</v>
      </c>
      <c r="AL65" s="5">
        <f t="shared" si="8"/>
        <v>1</v>
      </c>
      <c r="AM65" s="5">
        <f t="shared" si="17"/>
        <v>15</v>
      </c>
      <c r="AN65" s="4">
        <f t="shared" si="9"/>
        <v>15</v>
      </c>
    </row>
    <row r="66" spans="1:40">
      <c r="A66" s="13" t="s">
        <v>69</v>
      </c>
      <c r="B66" s="13" t="s">
        <v>70</v>
      </c>
      <c r="G66" s="15" t="s">
        <v>80</v>
      </c>
      <c r="H66" s="17" t="s">
        <v>91</v>
      </c>
      <c r="I66" s="5" t="s">
        <v>97</v>
      </c>
      <c r="J66" s="7" t="s">
        <v>98</v>
      </c>
      <c r="K66" s="5">
        <v>2</v>
      </c>
      <c r="L66" s="5">
        <v>1</v>
      </c>
      <c r="M66" s="5">
        <f t="shared" si="20"/>
        <v>2</v>
      </c>
      <c r="Q66" s="8" t="s">
        <v>481</v>
      </c>
      <c r="R66" s="8">
        <v>1</v>
      </c>
      <c r="S66" s="8" t="s">
        <v>30</v>
      </c>
      <c r="T66" s="8">
        <v>26</v>
      </c>
      <c r="U66" s="8">
        <v>1</v>
      </c>
      <c r="V66" s="8">
        <v>2</v>
      </c>
      <c r="W66" s="8">
        <v>26</v>
      </c>
      <c r="X66" s="8">
        <v>1</v>
      </c>
      <c r="Y66" s="8">
        <v>4</v>
      </c>
      <c r="Z66" s="8">
        <f>1000*(W66-T66)+100*(X66-U66)+(Y66-V66)</f>
        <v>2</v>
      </c>
      <c r="AA66" s="8">
        <v>4</v>
      </c>
      <c r="AC66" s="8" t="s">
        <v>523</v>
      </c>
      <c r="AE66" s="5">
        <f t="shared" ref="AE66:AE91" si="21">(CODE(MID(H66,1,1))-43)+(CODE(MID(H66,2,1))-43)*80+(CODE(MID(H66,3,1))-43)*80*80+(CODE(MID(H66,4,1))-43)*80*80*80</f>
        <v>35275980</v>
      </c>
      <c r="AF66" s="5" t="b">
        <f t="shared" si="4"/>
        <v>1</v>
      </c>
      <c r="AG66" s="5" t="b">
        <f t="shared" si="5"/>
        <v>0</v>
      </c>
      <c r="AH66" s="5" t="b">
        <f t="shared" si="6"/>
        <v>0</v>
      </c>
      <c r="AI66" s="5" t="b">
        <f t="shared" si="7"/>
        <v>0</v>
      </c>
      <c r="AJ66" s="68">
        <f t="shared" ref="AJ66:AJ91" si="22">DATE(T66+2000,U66,V66)</f>
        <v>44562</v>
      </c>
      <c r="AK66" s="68">
        <f t="shared" ref="AK66:AK91" si="23">DATE(2000+W66,X66,Y66)</f>
        <v>44564</v>
      </c>
      <c r="AL66" s="5">
        <f t="shared" si="8"/>
        <v>1</v>
      </c>
      <c r="AM66" s="5">
        <f t="shared" ref="AM66:AM91" si="24">AA66</f>
        <v>4</v>
      </c>
      <c r="AN66" s="4">
        <f t="shared" si="9"/>
        <v>4</v>
      </c>
    </row>
    <row r="67" spans="1:40">
      <c r="A67" s="36" t="s">
        <v>314</v>
      </c>
      <c r="B67" s="36" t="s">
        <v>446</v>
      </c>
      <c r="C67" s="4" t="s">
        <v>355</v>
      </c>
      <c r="D67" s="4" t="s">
        <v>138</v>
      </c>
      <c r="E67" s="4" t="s">
        <v>27</v>
      </c>
      <c r="F67" s="5">
        <v>95817</v>
      </c>
      <c r="G67" s="15" t="s">
        <v>415</v>
      </c>
      <c r="H67" s="4" t="s">
        <v>340</v>
      </c>
      <c r="I67" s="5" t="s">
        <v>15</v>
      </c>
      <c r="J67" s="7" t="s">
        <v>252</v>
      </c>
      <c r="K67" s="5">
        <v>2</v>
      </c>
      <c r="L67" s="5">
        <v>1</v>
      </c>
      <c r="M67" s="5">
        <f t="shared" si="20"/>
        <v>2</v>
      </c>
      <c r="N67" s="6" t="s">
        <v>417</v>
      </c>
      <c r="Q67" s="8" t="s">
        <v>447</v>
      </c>
      <c r="R67" s="8">
        <v>1</v>
      </c>
      <c r="S67" s="8" t="s">
        <v>97</v>
      </c>
      <c r="T67" s="8">
        <v>26</v>
      </c>
      <c r="U67" s="8">
        <v>1</v>
      </c>
      <c r="V67" s="8">
        <v>30</v>
      </c>
      <c r="W67" s="8">
        <v>26</v>
      </c>
      <c r="X67" s="8">
        <v>2</v>
      </c>
      <c r="Y67" s="8">
        <v>1</v>
      </c>
      <c r="Z67" s="8">
        <v>2</v>
      </c>
      <c r="AA67" s="8">
        <v>15</v>
      </c>
      <c r="AD67" s="5" t="s">
        <v>537</v>
      </c>
      <c r="AE67" s="5">
        <f t="shared" si="21"/>
        <v>35281151</v>
      </c>
      <c r="AF67" s="5" t="b">
        <f t="shared" ref="AF67:AF91" si="25">OR($S67="BEN",NOT(ISERROR(SEARCH("H",$AB67))))</f>
        <v>0</v>
      </c>
      <c r="AG67" s="5" t="b">
        <f t="shared" ref="AG67:AG91" si="26">OR($S67="BRA",NOT(ISERROR(SEARCH("H",$AB67))))</f>
        <v>0</v>
      </c>
      <c r="AH67" s="5" t="b">
        <f t="shared" ref="AH67:AH91" si="27">OR($S67="PGH",NOT(ISERROR(SEARCH("H",$AB67))))</f>
        <v>1</v>
      </c>
      <c r="AI67" s="5" t="b">
        <f t="shared" ref="AI67:AI91" si="28">OR($S67="LUD",NOT(ISERROR(SEARCH("H",$AB67))))</f>
        <v>0</v>
      </c>
      <c r="AJ67" s="68">
        <f t="shared" si="22"/>
        <v>44590</v>
      </c>
      <c r="AK67" s="68">
        <f t="shared" si="23"/>
        <v>44592</v>
      </c>
      <c r="AL67" s="5">
        <f t="shared" ref="AL67:AL91" si="29">VALUE(RIGHT(R67,1))</f>
        <v>1</v>
      </c>
      <c r="AM67" s="5">
        <f t="shared" si="24"/>
        <v>15</v>
      </c>
      <c r="AN67" s="4">
        <f t="shared" ref="AN67:AN91" si="30">IF(ISERROR(SEARCH("N",$AB67)),AM67,MAX(AM67-4,4))</f>
        <v>15</v>
      </c>
    </row>
    <row r="68" spans="1:40">
      <c r="A68" s="4" t="s">
        <v>292</v>
      </c>
      <c r="B68" s="4" t="s">
        <v>293</v>
      </c>
      <c r="C68" s="4" t="s">
        <v>294</v>
      </c>
      <c r="D68" s="4" t="s">
        <v>295</v>
      </c>
      <c r="E68" s="4" t="s">
        <v>27</v>
      </c>
      <c r="F68" s="5">
        <v>95134</v>
      </c>
      <c r="G68" s="51" t="s">
        <v>296</v>
      </c>
      <c r="H68" s="12" t="s">
        <v>297</v>
      </c>
      <c r="I68" s="5" t="s">
        <v>97</v>
      </c>
      <c r="J68" s="7" t="s">
        <v>252</v>
      </c>
      <c r="K68" s="5">
        <v>2</v>
      </c>
      <c r="L68" s="5">
        <v>1</v>
      </c>
      <c r="M68" s="5">
        <f t="shared" si="20"/>
        <v>2</v>
      </c>
      <c r="Q68" s="8" t="s">
        <v>438</v>
      </c>
      <c r="R68" s="8">
        <v>1</v>
      </c>
      <c r="S68" s="8" t="s">
        <v>133</v>
      </c>
      <c r="T68" s="8">
        <v>26</v>
      </c>
      <c r="U68" s="8">
        <v>4</v>
      </c>
      <c r="V68" s="8">
        <v>3</v>
      </c>
      <c r="W68" s="8">
        <v>26</v>
      </c>
      <c r="X68" s="8">
        <v>4</v>
      </c>
      <c r="Y68" s="8">
        <v>5</v>
      </c>
      <c r="Z68" s="8">
        <f t="shared" ref="Z68:Z81" si="31">1000*(W68-T68)+100*(X68-U68)+(Y68-V68)</f>
        <v>2</v>
      </c>
      <c r="AA68" s="8">
        <v>2</v>
      </c>
      <c r="AC68" s="8" t="s">
        <v>523</v>
      </c>
      <c r="AE68" s="5">
        <f t="shared" si="21"/>
        <v>35294552</v>
      </c>
      <c r="AF68" s="5" t="b">
        <f t="shared" si="25"/>
        <v>0</v>
      </c>
      <c r="AG68" s="5" t="b">
        <f t="shared" si="26"/>
        <v>1</v>
      </c>
      <c r="AH68" s="5" t="b">
        <f t="shared" si="27"/>
        <v>0</v>
      </c>
      <c r="AI68" s="5" t="b">
        <f t="shared" si="28"/>
        <v>0</v>
      </c>
      <c r="AJ68" s="68">
        <f t="shared" si="22"/>
        <v>44653</v>
      </c>
      <c r="AK68" s="68">
        <f t="shared" si="23"/>
        <v>44655</v>
      </c>
      <c r="AL68" s="5">
        <f t="shared" si="29"/>
        <v>1</v>
      </c>
      <c r="AM68" s="5">
        <f t="shared" si="24"/>
        <v>2</v>
      </c>
      <c r="AN68" s="4">
        <f t="shared" si="30"/>
        <v>2</v>
      </c>
    </row>
    <row r="69" spans="1:40">
      <c r="A69" s="30" t="s">
        <v>314</v>
      </c>
      <c r="B69" s="30" t="s">
        <v>315</v>
      </c>
      <c r="G69" s="51" t="s">
        <v>518</v>
      </c>
      <c r="H69" s="24" t="s">
        <v>335</v>
      </c>
      <c r="I69" s="5" t="s">
        <v>15</v>
      </c>
      <c r="J69" s="7" t="s">
        <v>252</v>
      </c>
      <c r="K69" s="5">
        <v>2</v>
      </c>
      <c r="L69" s="5">
        <v>1</v>
      </c>
      <c r="M69" s="5">
        <v>3</v>
      </c>
      <c r="N69" s="6" t="s">
        <v>202</v>
      </c>
      <c r="O69" s="8" t="s">
        <v>435</v>
      </c>
      <c r="Q69" s="8" t="s">
        <v>519</v>
      </c>
      <c r="R69" s="8">
        <v>1</v>
      </c>
      <c r="S69" s="8" t="s">
        <v>133</v>
      </c>
      <c r="T69" s="8">
        <v>26</v>
      </c>
      <c r="U69" s="8">
        <v>3</v>
      </c>
      <c r="V69" s="8">
        <v>6</v>
      </c>
      <c r="W69" s="8">
        <v>26</v>
      </c>
      <c r="X69" s="8">
        <v>3</v>
      </c>
      <c r="Y69" s="8">
        <v>8</v>
      </c>
      <c r="Z69" s="8">
        <f t="shared" si="31"/>
        <v>2</v>
      </c>
      <c r="AA69" s="8">
        <v>8</v>
      </c>
      <c r="AC69" s="8" t="s">
        <v>523</v>
      </c>
      <c r="AE69" s="5">
        <f t="shared" si="21"/>
        <v>35768949</v>
      </c>
      <c r="AF69" s="5" t="b">
        <f t="shared" si="25"/>
        <v>0</v>
      </c>
      <c r="AG69" s="5" t="b">
        <f t="shared" si="26"/>
        <v>1</v>
      </c>
      <c r="AH69" s="5" t="b">
        <f t="shared" si="27"/>
        <v>0</v>
      </c>
      <c r="AI69" s="5" t="b">
        <f t="shared" si="28"/>
        <v>0</v>
      </c>
      <c r="AJ69" s="68">
        <f t="shared" si="22"/>
        <v>44625</v>
      </c>
      <c r="AK69" s="68">
        <f t="shared" si="23"/>
        <v>44627</v>
      </c>
      <c r="AL69" s="5">
        <f t="shared" si="29"/>
        <v>1</v>
      </c>
      <c r="AM69" s="5">
        <f t="shared" si="24"/>
        <v>8</v>
      </c>
      <c r="AN69" s="4">
        <f t="shared" si="30"/>
        <v>8</v>
      </c>
    </row>
    <row r="70" spans="1:40">
      <c r="A70" s="73" t="s">
        <v>23</v>
      </c>
      <c r="B70" s="73" t="s">
        <v>24</v>
      </c>
      <c r="C70" s="4" t="s">
        <v>25</v>
      </c>
      <c r="D70" s="4" t="s">
        <v>26</v>
      </c>
      <c r="E70" s="4" t="s">
        <v>27</v>
      </c>
      <c r="G70" s="51" t="s">
        <v>28</v>
      </c>
      <c r="H70" s="12" t="s">
        <v>29</v>
      </c>
      <c r="I70" s="5" t="s">
        <v>30</v>
      </c>
      <c r="J70" s="7" t="s">
        <v>31</v>
      </c>
      <c r="K70" s="5">
        <v>5</v>
      </c>
      <c r="L70" s="5">
        <v>1</v>
      </c>
      <c r="M70" s="5">
        <v>5</v>
      </c>
      <c r="N70" s="6" t="s">
        <v>202</v>
      </c>
      <c r="O70" s="8" t="s">
        <v>435</v>
      </c>
      <c r="Q70" s="8" t="s">
        <v>472</v>
      </c>
      <c r="R70" s="8">
        <v>1</v>
      </c>
      <c r="S70" s="8" t="s">
        <v>30</v>
      </c>
      <c r="T70" s="8">
        <v>26</v>
      </c>
      <c r="U70" s="8">
        <v>2</v>
      </c>
      <c r="V70" s="8">
        <v>22</v>
      </c>
      <c r="W70" s="8">
        <v>26</v>
      </c>
      <c r="X70" s="8">
        <v>2</v>
      </c>
      <c r="Y70" s="8">
        <v>24</v>
      </c>
      <c r="Z70" s="8">
        <f t="shared" si="31"/>
        <v>2</v>
      </c>
      <c r="AA70" s="8">
        <v>4</v>
      </c>
      <c r="AC70" s="8" t="s">
        <v>523</v>
      </c>
      <c r="AE70" s="5">
        <f t="shared" si="21"/>
        <v>36702536</v>
      </c>
      <c r="AF70" s="5" t="b">
        <f t="shared" si="25"/>
        <v>1</v>
      </c>
      <c r="AG70" s="5" t="b">
        <f t="shared" si="26"/>
        <v>0</v>
      </c>
      <c r="AH70" s="5" t="b">
        <f t="shared" si="27"/>
        <v>0</v>
      </c>
      <c r="AI70" s="5" t="b">
        <f t="shared" si="28"/>
        <v>0</v>
      </c>
      <c r="AJ70" s="68">
        <f t="shared" si="22"/>
        <v>44613</v>
      </c>
      <c r="AK70" s="68">
        <f t="shared" si="23"/>
        <v>44615</v>
      </c>
      <c r="AL70" s="5">
        <f t="shared" si="29"/>
        <v>1</v>
      </c>
      <c r="AM70" s="5">
        <f t="shared" si="24"/>
        <v>4</v>
      </c>
      <c r="AN70" s="4">
        <f t="shared" si="30"/>
        <v>4</v>
      </c>
    </row>
    <row r="71" spans="1:40">
      <c r="A71" s="47" t="s">
        <v>208</v>
      </c>
      <c r="B71" s="47" t="s">
        <v>209</v>
      </c>
      <c r="C71" s="39" t="s">
        <v>232</v>
      </c>
      <c r="D71" s="39" t="s">
        <v>51</v>
      </c>
      <c r="E71" s="39" t="s">
        <v>27</v>
      </c>
      <c r="F71" s="40">
        <v>96150</v>
      </c>
      <c r="G71" s="64" t="s">
        <v>233</v>
      </c>
      <c r="H71" s="44" t="s">
        <v>234</v>
      </c>
      <c r="I71" s="40" t="s">
        <v>133</v>
      </c>
      <c r="J71" s="43" t="s">
        <v>216</v>
      </c>
      <c r="K71" s="40">
        <v>2</v>
      </c>
      <c r="L71" s="40">
        <v>1</v>
      </c>
      <c r="M71" s="40">
        <f t="shared" ref="M71:M85" si="32">K71*L71</f>
        <v>2</v>
      </c>
      <c r="N71" s="42"/>
      <c r="O71" s="41"/>
      <c r="P71" s="41"/>
      <c r="Q71" s="41" t="s">
        <v>504</v>
      </c>
      <c r="R71" s="41">
        <v>1</v>
      </c>
      <c r="S71" s="41" t="s">
        <v>30</v>
      </c>
      <c r="T71" s="41">
        <v>26</v>
      </c>
      <c r="U71" s="41">
        <v>4</v>
      </c>
      <c r="V71" s="41">
        <v>17</v>
      </c>
      <c r="W71" s="41">
        <v>26</v>
      </c>
      <c r="X71" s="41">
        <v>4</v>
      </c>
      <c r="Y71" s="41">
        <v>18</v>
      </c>
      <c r="Z71" s="41">
        <f t="shared" si="31"/>
        <v>1</v>
      </c>
      <c r="AA71" s="41">
        <v>6</v>
      </c>
      <c r="AB71" s="41"/>
      <c r="AC71" s="41" t="s">
        <v>523</v>
      </c>
      <c r="AE71" s="5">
        <f t="shared" si="21"/>
        <v>36715494</v>
      </c>
      <c r="AF71" s="5" t="b">
        <f t="shared" si="25"/>
        <v>1</v>
      </c>
      <c r="AG71" s="5" t="b">
        <f t="shared" si="26"/>
        <v>0</v>
      </c>
      <c r="AH71" s="5" t="b">
        <f t="shared" si="27"/>
        <v>0</v>
      </c>
      <c r="AI71" s="5" t="b">
        <f t="shared" si="28"/>
        <v>0</v>
      </c>
      <c r="AJ71" s="68">
        <f t="shared" si="22"/>
        <v>44667</v>
      </c>
      <c r="AK71" s="68">
        <f t="shared" si="23"/>
        <v>44668</v>
      </c>
      <c r="AL71" s="5">
        <f t="shared" si="29"/>
        <v>1</v>
      </c>
      <c r="AM71" s="5">
        <f t="shared" si="24"/>
        <v>6</v>
      </c>
      <c r="AN71" s="4">
        <f t="shared" si="30"/>
        <v>6</v>
      </c>
    </row>
    <row r="72" spans="1:40">
      <c r="A72" s="47" t="s">
        <v>208</v>
      </c>
      <c r="B72" s="47" t="s">
        <v>209</v>
      </c>
      <c r="C72" s="39" t="s">
        <v>232</v>
      </c>
      <c r="D72" s="39" t="s">
        <v>51</v>
      </c>
      <c r="E72" s="39" t="s">
        <v>27</v>
      </c>
      <c r="F72" s="40">
        <v>96150</v>
      </c>
      <c r="G72" s="64" t="s">
        <v>233</v>
      </c>
      <c r="H72" s="44" t="s">
        <v>234</v>
      </c>
      <c r="I72" s="40" t="s">
        <v>133</v>
      </c>
      <c r="J72" s="43" t="s">
        <v>216</v>
      </c>
      <c r="K72" s="40">
        <v>2</v>
      </c>
      <c r="L72" s="40">
        <v>1</v>
      </c>
      <c r="M72" s="40">
        <f t="shared" si="32"/>
        <v>2</v>
      </c>
      <c r="N72" s="42"/>
      <c r="O72" s="41"/>
      <c r="P72" s="41"/>
      <c r="Q72" s="41" t="s">
        <v>504</v>
      </c>
      <c r="R72" s="41">
        <v>1</v>
      </c>
      <c r="S72" s="41" t="s">
        <v>133</v>
      </c>
      <c r="T72" s="41">
        <v>26</v>
      </c>
      <c r="U72" s="41">
        <v>4</v>
      </c>
      <c r="V72" s="41">
        <v>18</v>
      </c>
      <c r="W72" s="41">
        <v>26</v>
      </c>
      <c r="X72" s="41">
        <v>4</v>
      </c>
      <c r="Y72" s="41">
        <v>20</v>
      </c>
      <c r="Z72" s="41">
        <f t="shared" si="31"/>
        <v>2</v>
      </c>
      <c r="AA72" s="41">
        <v>15</v>
      </c>
      <c r="AB72" s="41"/>
      <c r="AC72" s="41" t="s">
        <v>523</v>
      </c>
      <c r="AE72" s="5">
        <f t="shared" si="21"/>
        <v>36715494</v>
      </c>
      <c r="AF72" s="5" t="b">
        <f t="shared" si="25"/>
        <v>0</v>
      </c>
      <c r="AG72" s="5" t="b">
        <f t="shared" si="26"/>
        <v>1</v>
      </c>
      <c r="AH72" s="5" t="b">
        <f t="shared" si="27"/>
        <v>0</v>
      </c>
      <c r="AI72" s="5" t="b">
        <f t="shared" si="28"/>
        <v>0</v>
      </c>
      <c r="AJ72" s="68">
        <f t="shared" si="22"/>
        <v>44668</v>
      </c>
      <c r="AK72" s="68">
        <f t="shared" si="23"/>
        <v>44670</v>
      </c>
      <c r="AL72" s="5">
        <f t="shared" si="29"/>
        <v>1</v>
      </c>
      <c r="AM72" s="5">
        <f t="shared" si="24"/>
        <v>15</v>
      </c>
      <c r="AN72" s="4">
        <f t="shared" si="30"/>
        <v>15</v>
      </c>
    </row>
    <row r="73" spans="1:40">
      <c r="A73" s="37" t="s">
        <v>65</v>
      </c>
      <c r="B73" s="37" t="s">
        <v>66</v>
      </c>
      <c r="D73" s="4" t="s">
        <v>101</v>
      </c>
      <c r="E73" s="4" t="s">
        <v>102</v>
      </c>
      <c r="G73" s="51" t="s">
        <v>78</v>
      </c>
      <c r="H73" s="4" t="s">
        <v>89</v>
      </c>
      <c r="I73" s="5" t="s">
        <v>97</v>
      </c>
      <c r="J73" s="7" t="s">
        <v>98</v>
      </c>
      <c r="K73" s="5">
        <v>2</v>
      </c>
      <c r="L73" s="5">
        <v>1</v>
      </c>
      <c r="M73" s="5">
        <f t="shared" si="32"/>
        <v>2</v>
      </c>
      <c r="N73" s="6" t="s">
        <v>416</v>
      </c>
      <c r="Q73" s="8" t="s">
        <v>457</v>
      </c>
      <c r="R73" s="8">
        <v>1</v>
      </c>
      <c r="S73" s="8" t="s">
        <v>97</v>
      </c>
      <c r="T73" s="8">
        <v>26</v>
      </c>
      <c r="U73" s="8">
        <v>3</v>
      </c>
      <c r="V73" s="8">
        <v>6</v>
      </c>
      <c r="W73" s="8">
        <v>26</v>
      </c>
      <c r="X73" s="8">
        <v>3</v>
      </c>
      <c r="Y73" s="8">
        <v>8</v>
      </c>
      <c r="Z73" s="8">
        <f t="shared" si="31"/>
        <v>2</v>
      </c>
      <c r="AA73" s="8">
        <v>15</v>
      </c>
      <c r="AC73" s="8" t="s">
        <v>523</v>
      </c>
      <c r="AE73" s="5">
        <f t="shared" si="21"/>
        <v>36779497</v>
      </c>
      <c r="AF73" s="5" t="b">
        <f t="shared" si="25"/>
        <v>0</v>
      </c>
      <c r="AG73" s="5" t="b">
        <f t="shared" si="26"/>
        <v>0</v>
      </c>
      <c r="AH73" s="5" t="b">
        <f t="shared" si="27"/>
        <v>1</v>
      </c>
      <c r="AI73" s="5" t="b">
        <f t="shared" si="28"/>
        <v>0</v>
      </c>
      <c r="AJ73" s="68">
        <f t="shared" si="22"/>
        <v>44625</v>
      </c>
      <c r="AK73" s="68">
        <f t="shared" si="23"/>
        <v>44627</v>
      </c>
      <c r="AL73" s="5">
        <f t="shared" si="29"/>
        <v>1</v>
      </c>
      <c r="AM73" s="5">
        <f t="shared" si="24"/>
        <v>15</v>
      </c>
      <c r="AN73" s="4">
        <f t="shared" si="30"/>
        <v>15</v>
      </c>
    </row>
    <row r="74" spans="1:40">
      <c r="A74" s="30" t="s">
        <v>323</v>
      </c>
      <c r="B74" s="30" t="s">
        <v>324</v>
      </c>
      <c r="C74" s="4" t="s">
        <v>356</v>
      </c>
      <c r="D74" s="4" t="s">
        <v>138</v>
      </c>
      <c r="E74" s="4" t="s">
        <v>27</v>
      </c>
      <c r="G74" s="51" t="s">
        <v>453</v>
      </c>
      <c r="H74" s="56" t="s">
        <v>341</v>
      </c>
      <c r="I74" s="5" t="s">
        <v>15</v>
      </c>
      <c r="J74" s="7" t="s">
        <v>252</v>
      </c>
      <c r="K74" s="5">
        <v>2</v>
      </c>
      <c r="L74" s="5">
        <v>1</v>
      </c>
      <c r="M74" s="5">
        <f t="shared" si="32"/>
        <v>2</v>
      </c>
      <c r="Q74" s="8" t="s">
        <v>454</v>
      </c>
      <c r="R74" s="8">
        <v>4</v>
      </c>
      <c r="S74" s="8" t="s">
        <v>30</v>
      </c>
      <c r="T74" s="8">
        <v>26</v>
      </c>
      <c r="U74" s="8">
        <v>3</v>
      </c>
      <c r="V74" s="8">
        <v>27</v>
      </c>
      <c r="W74" s="8">
        <v>26</v>
      </c>
      <c r="X74" s="8">
        <v>3</v>
      </c>
      <c r="Y74" s="8">
        <v>29</v>
      </c>
      <c r="Z74" s="8">
        <f t="shared" si="31"/>
        <v>2</v>
      </c>
      <c r="AA74" s="8">
        <v>15</v>
      </c>
      <c r="AC74" s="8" t="s">
        <v>523</v>
      </c>
      <c r="AE74" s="5">
        <f t="shared" si="21"/>
        <v>36792262</v>
      </c>
      <c r="AF74" s="5" t="b">
        <f t="shared" si="25"/>
        <v>1</v>
      </c>
      <c r="AG74" s="5" t="b">
        <f t="shared" si="26"/>
        <v>0</v>
      </c>
      <c r="AH74" s="5" t="b">
        <f t="shared" si="27"/>
        <v>0</v>
      </c>
      <c r="AI74" s="5" t="b">
        <f t="shared" si="28"/>
        <v>0</v>
      </c>
      <c r="AJ74" s="68">
        <f t="shared" si="22"/>
        <v>44646</v>
      </c>
      <c r="AK74" s="68">
        <f t="shared" si="23"/>
        <v>44648</v>
      </c>
      <c r="AL74" s="5">
        <f t="shared" si="29"/>
        <v>4</v>
      </c>
      <c r="AM74" s="5">
        <f t="shared" si="24"/>
        <v>15</v>
      </c>
      <c r="AN74" s="4">
        <f t="shared" si="30"/>
        <v>15</v>
      </c>
    </row>
    <row r="75" spans="1:40">
      <c r="A75" s="22" t="s">
        <v>211</v>
      </c>
      <c r="B75" s="22" t="s">
        <v>212</v>
      </c>
      <c r="C75" s="4" t="s">
        <v>220</v>
      </c>
      <c r="D75" s="4" t="s">
        <v>221</v>
      </c>
      <c r="E75" s="4" t="s">
        <v>27</v>
      </c>
      <c r="F75" s="5">
        <v>95945</v>
      </c>
      <c r="G75" s="51" t="s">
        <v>222</v>
      </c>
      <c r="H75" s="12" t="s">
        <v>223</v>
      </c>
      <c r="I75" s="5" t="s">
        <v>133</v>
      </c>
      <c r="J75" s="7" t="s">
        <v>216</v>
      </c>
      <c r="K75" s="5">
        <v>2</v>
      </c>
      <c r="L75" s="5">
        <v>1</v>
      </c>
      <c r="M75" s="5">
        <f t="shared" si="32"/>
        <v>2</v>
      </c>
      <c r="P75" s="8" t="s">
        <v>436</v>
      </c>
      <c r="Q75" s="8" t="s">
        <v>458</v>
      </c>
      <c r="R75" s="8">
        <v>1</v>
      </c>
      <c r="S75" s="8" t="s">
        <v>133</v>
      </c>
      <c r="T75" s="8">
        <v>26</v>
      </c>
      <c r="U75" s="8">
        <v>3</v>
      </c>
      <c r="V75" s="8">
        <v>20</v>
      </c>
      <c r="W75" s="8">
        <v>26</v>
      </c>
      <c r="X75" s="8">
        <v>3</v>
      </c>
      <c r="Y75" s="8">
        <v>22</v>
      </c>
      <c r="Z75" s="8">
        <f t="shared" si="31"/>
        <v>2</v>
      </c>
      <c r="AA75" s="8">
        <v>8</v>
      </c>
      <c r="AC75" s="8" t="s">
        <v>523</v>
      </c>
      <c r="AE75" s="5">
        <f t="shared" si="21"/>
        <v>36811113</v>
      </c>
      <c r="AF75" s="5" t="b">
        <f t="shared" si="25"/>
        <v>0</v>
      </c>
      <c r="AG75" s="5" t="b">
        <f t="shared" si="26"/>
        <v>1</v>
      </c>
      <c r="AH75" s="5" t="b">
        <f t="shared" si="27"/>
        <v>0</v>
      </c>
      <c r="AI75" s="5" t="b">
        <f t="shared" si="28"/>
        <v>0</v>
      </c>
      <c r="AJ75" s="68">
        <f t="shared" si="22"/>
        <v>44639</v>
      </c>
      <c r="AK75" s="68">
        <f t="shared" si="23"/>
        <v>44641</v>
      </c>
      <c r="AL75" s="5">
        <f t="shared" si="29"/>
        <v>1</v>
      </c>
      <c r="AM75" s="5">
        <f t="shared" si="24"/>
        <v>8</v>
      </c>
      <c r="AN75" s="4">
        <f t="shared" si="30"/>
        <v>8</v>
      </c>
    </row>
    <row r="76" spans="1:40" ht="13">
      <c r="A76" s="77" t="s">
        <v>381</v>
      </c>
      <c r="B76" s="77" t="s">
        <v>382</v>
      </c>
      <c r="C76" s="4" t="s">
        <v>406</v>
      </c>
      <c r="D76" s="4" t="s">
        <v>221</v>
      </c>
      <c r="E76" s="4" t="s">
        <v>27</v>
      </c>
      <c r="G76" s="51" t="s">
        <v>400</v>
      </c>
      <c r="H76" s="12" t="s">
        <v>409</v>
      </c>
      <c r="I76" s="5" t="s">
        <v>390</v>
      </c>
      <c r="J76" s="7" t="s">
        <v>391</v>
      </c>
      <c r="K76" s="5">
        <v>1</v>
      </c>
      <c r="L76" s="5">
        <v>1</v>
      </c>
      <c r="M76" s="5">
        <f t="shared" si="32"/>
        <v>1</v>
      </c>
      <c r="Q76" s="8" t="s">
        <v>544</v>
      </c>
      <c r="R76" s="8" t="s">
        <v>531</v>
      </c>
      <c r="S76" s="8" t="s">
        <v>15</v>
      </c>
      <c r="T76" s="8">
        <v>26</v>
      </c>
      <c r="U76" s="8">
        <v>3</v>
      </c>
      <c r="V76" s="8">
        <v>20</v>
      </c>
      <c r="W76" s="8">
        <v>26</v>
      </c>
      <c r="X76" s="8">
        <v>3</v>
      </c>
      <c r="Y76" s="8">
        <v>22</v>
      </c>
      <c r="Z76" s="8">
        <f t="shared" si="31"/>
        <v>2</v>
      </c>
      <c r="AA76" s="8">
        <v>9</v>
      </c>
      <c r="AC76" s="8" t="s">
        <v>523</v>
      </c>
      <c r="AD76" s="5" t="s">
        <v>539</v>
      </c>
      <c r="AE76" s="5">
        <f t="shared" si="21"/>
        <v>36829985</v>
      </c>
      <c r="AF76" s="5" t="b">
        <f t="shared" si="25"/>
        <v>0</v>
      </c>
      <c r="AG76" s="5" t="b">
        <f t="shared" si="26"/>
        <v>0</v>
      </c>
      <c r="AH76" s="5" t="b">
        <f t="shared" si="27"/>
        <v>0</v>
      </c>
      <c r="AI76" s="5" t="b">
        <f t="shared" si="28"/>
        <v>1</v>
      </c>
      <c r="AJ76" s="68">
        <f t="shared" si="22"/>
        <v>44639</v>
      </c>
      <c r="AK76" s="68">
        <f t="shared" si="23"/>
        <v>44641</v>
      </c>
      <c r="AL76" s="5">
        <f t="shared" si="29"/>
        <v>2</v>
      </c>
      <c r="AM76" s="5">
        <f t="shared" si="24"/>
        <v>9</v>
      </c>
      <c r="AN76" s="4">
        <f t="shared" si="30"/>
        <v>9</v>
      </c>
    </row>
    <row r="77" spans="1:40">
      <c r="A77" s="13" t="s">
        <v>180</v>
      </c>
      <c r="B77" s="13" t="s">
        <v>181</v>
      </c>
      <c r="G77" s="51" t="s">
        <v>545</v>
      </c>
      <c r="H77" s="21" t="s">
        <v>182</v>
      </c>
      <c r="I77" s="5" t="s">
        <v>97</v>
      </c>
      <c r="J77" s="7" t="s">
        <v>183</v>
      </c>
      <c r="K77" s="5">
        <v>2</v>
      </c>
      <c r="L77" s="5">
        <v>1</v>
      </c>
      <c r="M77" s="5">
        <f t="shared" si="32"/>
        <v>2</v>
      </c>
      <c r="N77" s="6" t="s">
        <v>184</v>
      </c>
      <c r="Q77" s="8" t="s">
        <v>433</v>
      </c>
      <c r="R77" s="8">
        <v>1</v>
      </c>
      <c r="S77" s="8" t="s">
        <v>97</v>
      </c>
      <c r="T77" s="8">
        <v>26</v>
      </c>
      <c r="U77" s="8">
        <v>1</v>
      </c>
      <c r="V77" s="8">
        <v>12</v>
      </c>
      <c r="W77" s="8">
        <v>26</v>
      </c>
      <c r="X77" s="8">
        <v>1</v>
      </c>
      <c r="Y77" s="8">
        <v>15</v>
      </c>
      <c r="Z77" s="8">
        <f t="shared" si="31"/>
        <v>3</v>
      </c>
      <c r="AA77" s="8">
        <v>15</v>
      </c>
      <c r="AC77" s="8" t="s">
        <v>523</v>
      </c>
      <c r="AE77" s="5">
        <f t="shared" si="21"/>
        <v>37290782</v>
      </c>
      <c r="AF77" s="5" t="b">
        <f t="shared" si="25"/>
        <v>0</v>
      </c>
      <c r="AG77" s="5" t="b">
        <f t="shared" si="26"/>
        <v>0</v>
      </c>
      <c r="AH77" s="5" t="b">
        <f t="shared" si="27"/>
        <v>1</v>
      </c>
      <c r="AI77" s="5" t="b">
        <f t="shared" si="28"/>
        <v>0</v>
      </c>
      <c r="AJ77" s="68">
        <f t="shared" si="22"/>
        <v>44572</v>
      </c>
      <c r="AK77" s="68">
        <f t="shared" si="23"/>
        <v>44575</v>
      </c>
      <c r="AL77" s="5">
        <f t="shared" si="29"/>
        <v>1</v>
      </c>
      <c r="AM77" s="5">
        <f t="shared" si="24"/>
        <v>15</v>
      </c>
      <c r="AN77" s="4">
        <f t="shared" si="30"/>
        <v>15</v>
      </c>
    </row>
    <row r="78" spans="1:40" ht="13">
      <c r="A78" s="26" t="s">
        <v>114</v>
      </c>
      <c r="B78" s="26" t="s">
        <v>380</v>
      </c>
      <c r="G78" s="58" t="s">
        <v>394</v>
      </c>
      <c r="H78" s="27" t="s">
        <v>389</v>
      </c>
      <c r="I78" s="5" t="s">
        <v>390</v>
      </c>
      <c r="J78" s="7" t="s">
        <v>391</v>
      </c>
      <c r="K78" s="5">
        <v>2</v>
      </c>
      <c r="L78" s="5">
        <v>1</v>
      </c>
      <c r="M78" s="5">
        <f t="shared" si="32"/>
        <v>2</v>
      </c>
      <c r="N78" s="6" t="s">
        <v>202</v>
      </c>
      <c r="O78" s="8" t="s">
        <v>435</v>
      </c>
      <c r="Q78" s="8" t="s">
        <v>517</v>
      </c>
      <c r="R78" s="8">
        <v>1</v>
      </c>
      <c r="S78" s="8" t="s">
        <v>133</v>
      </c>
      <c r="T78" s="8">
        <v>26</v>
      </c>
      <c r="U78" s="8">
        <v>3</v>
      </c>
      <c r="V78" s="8">
        <v>15</v>
      </c>
      <c r="W78" s="8">
        <v>26</v>
      </c>
      <c r="X78" s="8">
        <v>3</v>
      </c>
      <c r="Y78" s="8">
        <v>17</v>
      </c>
      <c r="Z78" s="8">
        <f t="shared" si="31"/>
        <v>2</v>
      </c>
      <c r="AA78" s="8">
        <v>3</v>
      </c>
      <c r="AC78" s="8" t="s">
        <v>523</v>
      </c>
      <c r="AE78" s="5">
        <f t="shared" si="21"/>
        <v>37726952</v>
      </c>
      <c r="AF78" s="5" t="b">
        <f t="shared" si="25"/>
        <v>0</v>
      </c>
      <c r="AG78" s="5" t="b">
        <f t="shared" si="26"/>
        <v>1</v>
      </c>
      <c r="AH78" s="5" t="b">
        <f t="shared" si="27"/>
        <v>0</v>
      </c>
      <c r="AI78" s="5" t="b">
        <f t="shared" si="28"/>
        <v>0</v>
      </c>
      <c r="AJ78" s="68">
        <f t="shared" si="22"/>
        <v>44634</v>
      </c>
      <c r="AK78" s="68">
        <f t="shared" si="23"/>
        <v>44636</v>
      </c>
      <c r="AL78" s="5">
        <f t="shared" si="29"/>
        <v>1</v>
      </c>
      <c r="AM78" s="5">
        <f t="shared" si="24"/>
        <v>3</v>
      </c>
      <c r="AN78" s="4">
        <f t="shared" si="30"/>
        <v>3</v>
      </c>
    </row>
    <row r="79" spans="1:40">
      <c r="A79" s="30" t="s">
        <v>319</v>
      </c>
      <c r="B79" s="30" t="s">
        <v>320</v>
      </c>
      <c r="C79" s="4" t="s">
        <v>352</v>
      </c>
      <c r="D79" s="4" t="s">
        <v>51</v>
      </c>
      <c r="E79" s="4" t="s">
        <v>27</v>
      </c>
      <c r="F79" s="5">
        <v>96150</v>
      </c>
      <c r="G79" s="51" t="s">
        <v>546</v>
      </c>
      <c r="H79" s="24" t="s">
        <v>338</v>
      </c>
      <c r="I79" s="5" t="s">
        <v>15</v>
      </c>
      <c r="J79" s="7" t="s">
        <v>252</v>
      </c>
      <c r="K79" s="5">
        <v>2</v>
      </c>
      <c r="L79" s="5">
        <v>1</v>
      </c>
      <c r="M79" s="5">
        <f t="shared" si="32"/>
        <v>2</v>
      </c>
      <c r="Q79" s="8" t="s">
        <v>485</v>
      </c>
      <c r="R79" s="8">
        <v>1</v>
      </c>
      <c r="S79" s="8" t="s">
        <v>97</v>
      </c>
      <c r="T79" s="8">
        <v>26</v>
      </c>
      <c r="U79" s="8">
        <v>2</v>
      </c>
      <c r="V79" s="8">
        <v>21</v>
      </c>
      <c r="W79" s="8">
        <v>26</v>
      </c>
      <c r="X79" s="8">
        <v>2</v>
      </c>
      <c r="Y79" s="8">
        <v>22</v>
      </c>
      <c r="Z79" s="8">
        <f t="shared" si="31"/>
        <v>1</v>
      </c>
      <c r="AA79" s="8">
        <v>4</v>
      </c>
      <c r="AC79" s="8" t="s">
        <v>523</v>
      </c>
      <c r="AE79" s="5">
        <f t="shared" si="21"/>
        <v>37777504</v>
      </c>
      <c r="AF79" s="5" t="b">
        <f t="shared" si="25"/>
        <v>0</v>
      </c>
      <c r="AG79" s="5" t="b">
        <f t="shared" si="26"/>
        <v>0</v>
      </c>
      <c r="AH79" s="5" t="b">
        <f t="shared" si="27"/>
        <v>1</v>
      </c>
      <c r="AI79" s="5" t="b">
        <f t="shared" si="28"/>
        <v>0</v>
      </c>
      <c r="AJ79" s="68">
        <f t="shared" si="22"/>
        <v>44612</v>
      </c>
      <c r="AK79" s="68">
        <f t="shared" si="23"/>
        <v>44613</v>
      </c>
      <c r="AL79" s="5">
        <f t="shared" si="29"/>
        <v>1</v>
      </c>
      <c r="AM79" s="5">
        <f t="shared" si="24"/>
        <v>4</v>
      </c>
      <c r="AN79" s="4">
        <f t="shared" si="30"/>
        <v>4</v>
      </c>
    </row>
    <row r="80" spans="1:40">
      <c r="A80" s="30" t="s">
        <v>114</v>
      </c>
      <c r="B80" s="30" t="s">
        <v>330</v>
      </c>
      <c r="C80" s="4" t="s">
        <v>362</v>
      </c>
      <c r="D80" s="4" t="s">
        <v>363</v>
      </c>
      <c r="E80" s="4" t="s">
        <v>27</v>
      </c>
      <c r="F80" s="5">
        <v>96140</v>
      </c>
      <c r="G80" s="51" t="s">
        <v>364</v>
      </c>
      <c r="H80" s="24" t="s">
        <v>345</v>
      </c>
      <c r="I80" s="5" t="s">
        <v>15</v>
      </c>
      <c r="J80" s="7" t="s">
        <v>252</v>
      </c>
      <c r="K80" s="5">
        <v>2</v>
      </c>
      <c r="L80" s="5">
        <v>1</v>
      </c>
      <c r="M80" s="5">
        <f t="shared" si="32"/>
        <v>2</v>
      </c>
      <c r="Q80" s="8" t="s">
        <v>429</v>
      </c>
      <c r="R80" s="8">
        <v>1</v>
      </c>
      <c r="S80" s="8" t="s">
        <v>97</v>
      </c>
      <c r="T80" s="8">
        <v>25</v>
      </c>
      <c r="U80" s="8">
        <v>12</v>
      </c>
      <c r="V80" s="8">
        <v>19</v>
      </c>
      <c r="W80" s="8">
        <v>25</v>
      </c>
      <c r="X80" s="8">
        <v>12</v>
      </c>
      <c r="Y80" s="8">
        <v>21</v>
      </c>
      <c r="Z80" s="8">
        <f t="shared" si="31"/>
        <v>2</v>
      </c>
      <c r="AA80" s="8">
        <v>4</v>
      </c>
      <c r="AC80" s="8" t="s">
        <v>523</v>
      </c>
      <c r="AE80" s="5">
        <f t="shared" si="21"/>
        <v>37815752</v>
      </c>
      <c r="AF80" s="5" t="b">
        <f t="shared" si="25"/>
        <v>0</v>
      </c>
      <c r="AG80" s="5" t="b">
        <f t="shared" si="26"/>
        <v>0</v>
      </c>
      <c r="AH80" s="5" t="b">
        <f t="shared" si="27"/>
        <v>1</v>
      </c>
      <c r="AI80" s="5" t="b">
        <f t="shared" si="28"/>
        <v>0</v>
      </c>
      <c r="AJ80" s="68">
        <f t="shared" si="22"/>
        <v>44548</v>
      </c>
      <c r="AK80" s="68">
        <f t="shared" si="23"/>
        <v>44550</v>
      </c>
      <c r="AL80" s="5">
        <f t="shared" si="29"/>
        <v>1</v>
      </c>
      <c r="AM80" s="5">
        <f t="shared" si="24"/>
        <v>4</v>
      </c>
      <c r="AN80" s="4">
        <f t="shared" si="30"/>
        <v>4</v>
      </c>
    </row>
    <row r="81" spans="1:40">
      <c r="A81" s="4" t="s">
        <v>193</v>
      </c>
      <c r="B81" s="4" t="s">
        <v>194</v>
      </c>
      <c r="G81" s="51" t="s">
        <v>451</v>
      </c>
      <c r="H81" s="10" t="s">
        <v>310</v>
      </c>
      <c r="I81" s="5" t="s">
        <v>30</v>
      </c>
      <c r="J81" s="7" t="s">
        <v>201</v>
      </c>
      <c r="K81" s="5">
        <v>2</v>
      </c>
      <c r="L81" s="5">
        <v>1</v>
      </c>
      <c r="M81" s="5">
        <f t="shared" si="32"/>
        <v>2</v>
      </c>
      <c r="Q81" s="8" t="s">
        <v>452</v>
      </c>
      <c r="R81" s="8">
        <v>1</v>
      </c>
      <c r="S81" s="8" t="s">
        <v>30</v>
      </c>
      <c r="T81" s="8">
        <v>26</v>
      </c>
      <c r="U81" s="8">
        <v>3</v>
      </c>
      <c r="V81" s="8">
        <v>3</v>
      </c>
      <c r="W81" s="8">
        <v>26</v>
      </c>
      <c r="X81" s="8">
        <v>3</v>
      </c>
      <c r="Y81" s="8">
        <v>5</v>
      </c>
      <c r="Z81" s="8">
        <f t="shared" si="31"/>
        <v>2</v>
      </c>
      <c r="AA81" s="8">
        <v>6</v>
      </c>
      <c r="AB81" s="8" t="s">
        <v>427</v>
      </c>
      <c r="AC81" s="8" t="s">
        <v>523</v>
      </c>
      <c r="AE81" s="5">
        <f t="shared" si="21"/>
        <v>37816949</v>
      </c>
      <c r="AF81" s="5" t="b">
        <f t="shared" si="25"/>
        <v>1</v>
      </c>
      <c r="AG81" s="5" t="b">
        <f t="shared" si="26"/>
        <v>0</v>
      </c>
      <c r="AH81" s="5" t="b">
        <f t="shared" si="27"/>
        <v>0</v>
      </c>
      <c r="AI81" s="5" t="b">
        <f t="shared" si="28"/>
        <v>0</v>
      </c>
      <c r="AJ81" s="68">
        <f t="shared" si="22"/>
        <v>44622</v>
      </c>
      <c r="AK81" s="68">
        <f t="shared" si="23"/>
        <v>44624</v>
      </c>
      <c r="AL81" s="5">
        <f t="shared" si="29"/>
        <v>1</v>
      </c>
      <c r="AM81" s="5">
        <f t="shared" si="24"/>
        <v>6</v>
      </c>
      <c r="AN81" s="4">
        <f t="shared" si="30"/>
        <v>6</v>
      </c>
    </row>
    <row r="82" spans="1:40" ht="23">
      <c r="A82" s="26" t="s">
        <v>369</v>
      </c>
      <c r="B82" s="26" t="s">
        <v>370</v>
      </c>
      <c r="C82" s="4" t="s">
        <v>401</v>
      </c>
      <c r="D82" s="4" t="s">
        <v>32</v>
      </c>
      <c r="E82" s="4" t="s">
        <v>27</v>
      </c>
      <c r="G82" s="58" t="s">
        <v>393</v>
      </c>
      <c r="H82" s="27" t="s">
        <v>383</v>
      </c>
      <c r="I82" s="5" t="s">
        <v>390</v>
      </c>
      <c r="J82" s="7" t="s">
        <v>391</v>
      </c>
      <c r="K82" s="5">
        <v>2</v>
      </c>
      <c r="L82" s="5">
        <v>1</v>
      </c>
      <c r="M82" s="5">
        <f t="shared" si="32"/>
        <v>2</v>
      </c>
      <c r="Q82" s="8" t="s">
        <v>465</v>
      </c>
      <c r="R82" s="8">
        <v>1</v>
      </c>
      <c r="S82" s="8" t="s">
        <v>133</v>
      </c>
      <c r="T82" s="8">
        <v>26</v>
      </c>
      <c r="U82" s="8">
        <v>1</v>
      </c>
      <c r="V82" s="8">
        <v>30</v>
      </c>
      <c r="W82" s="8">
        <v>26</v>
      </c>
      <c r="X82" s="8">
        <v>2</v>
      </c>
      <c r="Y82" s="8">
        <v>1</v>
      </c>
      <c r="Z82" s="8">
        <v>2</v>
      </c>
      <c r="AA82" s="8">
        <v>15</v>
      </c>
      <c r="AB82" s="8" t="s">
        <v>466</v>
      </c>
      <c r="AC82" s="8" t="s">
        <v>523</v>
      </c>
      <c r="AE82" s="5">
        <f t="shared" si="21"/>
        <v>37834786</v>
      </c>
      <c r="AF82" s="5" t="b">
        <f t="shared" si="25"/>
        <v>0</v>
      </c>
      <c r="AG82" s="5" t="b">
        <f t="shared" si="26"/>
        <v>1</v>
      </c>
      <c r="AH82" s="5" t="b">
        <f t="shared" si="27"/>
        <v>0</v>
      </c>
      <c r="AI82" s="5" t="b">
        <f t="shared" si="28"/>
        <v>0</v>
      </c>
      <c r="AJ82" s="68">
        <f t="shared" si="22"/>
        <v>44590</v>
      </c>
      <c r="AK82" s="68">
        <f t="shared" si="23"/>
        <v>44592</v>
      </c>
      <c r="AL82" s="5">
        <f t="shared" si="29"/>
        <v>1</v>
      </c>
      <c r="AM82" s="5">
        <f t="shared" si="24"/>
        <v>15</v>
      </c>
      <c r="AN82" s="4">
        <f t="shared" si="30"/>
        <v>11</v>
      </c>
    </row>
    <row r="83" spans="1:40">
      <c r="A83" s="30" t="s">
        <v>331</v>
      </c>
      <c r="B83" s="30" t="s">
        <v>332</v>
      </c>
      <c r="C83" s="4" t="s">
        <v>365</v>
      </c>
      <c r="D83" s="4" t="s">
        <v>32</v>
      </c>
      <c r="E83" s="4" t="s">
        <v>27</v>
      </c>
      <c r="F83" s="5">
        <v>94117</v>
      </c>
      <c r="G83" s="51" t="s">
        <v>366</v>
      </c>
      <c r="H83" s="24" t="s">
        <v>346</v>
      </c>
      <c r="I83" s="5" t="s">
        <v>15</v>
      </c>
      <c r="J83" s="7" t="s">
        <v>252</v>
      </c>
      <c r="K83" s="5">
        <v>2</v>
      </c>
      <c r="L83" s="5">
        <v>1</v>
      </c>
      <c r="M83" s="5">
        <f t="shared" si="32"/>
        <v>2</v>
      </c>
      <c r="Q83" s="8" t="s">
        <v>521</v>
      </c>
      <c r="R83" s="8">
        <v>1</v>
      </c>
      <c r="S83" s="8" t="s">
        <v>97</v>
      </c>
      <c r="T83" s="8">
        <v>26</v>
      </c>
      <c r="U83" s="8">
        <v>3</v>
      </c>
      <c r="V83" s="8">
        <v>20</v>
      </c>
      <c r="W83" s="8">
        <v>26</v>
      </c>
      <c r="X83" s="8">
        <v>3</v>
      </c>
      <c r="Y83" s="8">
        <v>22</v>
      </c>
      <c r="Z83" s="8">
        <f>1000*(W83-T83)+100*(X83-U83)+(Y83-V83)</f>
        <v>2</v>
      </c>
      <c r="AA83" s="8">
        <v>6</v>
      </c>
      <c r="AB83" s="8" t="s">
        <v>449</v>
      </c>
      <c r="AC83" s="8" t="s">
        <v>523</v>
      </c>
      <c r="AE83" s="5">
        <f t="shared" si="21"/>
        <v>37841836</v>
      </c>
      <c r="AF83" s="5" t="b">
        <f t="shared" si="25"/>
        <v>1</v>
      </c>
      <c r="AG83" s="5" t="b">
        <f t="shared" si="26"/>
        <v>1</v>
      </c>
      <c r="AH83" s="5" t="b">
        <f t="shared" si="27"/>
        <v>1</v>
      </c>
      <c r="AI83" s="5" t="b">
        <f t="shared" si="28"/>
        <v>1</v>
      </c>
      <c r="AJ83" s="68">
        <f t="shared" si="22"/>
        <v>44639</v>
      </c>
      <c r="AK83" s="68">
        <f t="shared" si="23"/>
        <v>44641</v>
      </c>
      <c r="AL83" s="5">
        <f t="shared" si="29"/>
        <v>1</v>
      </c>
      <c r="AM83" s="5">
        <f t="shared" si="24"/>
        <v>6</v>
      </c>
      <c r="AN83" s="4">
        <f t="shared" si="30"/>
        <v>4</v>
      </c>
    </row>
    <row r="84" spans="1:40">
      <c r="A84" s="13" t="s">
        <v>57</v>
      </c>
      <c r="B84" s="13" t="s">
        <v>58</v>
      </c>
      <c r="D84" s="4" t="s">
        <v>100</v>
      </c>
      <c r="E84" s="4" t="s">
        <v>27</v>
      </c>
      <c r="G84" s="15" t="s">
        <v>76</v>
      </c>
      <c r="H84" s="11" t="s">
        <v>85</v>
      </c>
      <c r="I84" s="5" t="s">
        <v>97</v>
      </c>
      <c r="J84" s="7" t="s">
        <v>98</v>
      </c>
      <c r="K84" s="5">
        <v>2</v>
      </c>
      <c r="L84" s="5">
        <v>1</v>
      </c>
      <c r="M84" s="5">
        <f t="shared" si="32"/>
        <v>2</v>
      </c>
      <c r="Q84" s="8" t="s">
        <v>514</v>
      </c>
      <c r="R84" s="8">
        <v>1</v>
      </c>
      <c r="S84" s="8" t="s">
        <v>30</v>
      </c>
      <c r="T84" s="8">
        <v>26</v>
      </c>
      <c r="U84" s="8">
        <v>3</v>
      </c>
      <c r="V84" s="8">
        <v>20</v>
      </c>
      <c r="W84" s="8">
        <v>26</v>
      </c>
      <c r="X84" s="8">
        <v>3</v>
      </c>
      <c r="Y84" s="8">
        <v>22</v>
      </c>
      <c r="Z84" s="8">
        <f>1000*(W84-T84)+100*(X84-U84)+(Y84-V84)</f>
        <v>2</v>
      </c>
      <c r="AA84" s="8">
        <v>5</v>
      </c>
      <c r="AB84" s="8" t="s">
        <v>466</v>
      </c>
      <c r="AC84" s="8" t="s">
        <v>523</v>
      </c>
      <c r="AE84" s="5">
        <f t="shared" si="21"/>
        <v>37847586</v>
      </c>
      <c r="AF84" s="5" t="b">
        <f t="shared" si="25"/>
        <v>1</v>
      </c>
      <c r="AG84" s="5" t="b">
        <f t="shared" si="26"/>
        <v>0</v>
      </c>
      <c r="AH84" s="5" t="b">
        <f t="shared" si="27"/>
        <v>0</v>
      </c>
      <c r="AI84" s="5" t="b">
        <f t="shared" si="28"/>
        <v>0</v>
      </c>
      <c r="AJ84" s="68">
        <f t="shared" si="22"/>
        <v>44639</v>
      </c>
      <c r="AK84" s="68">
        <f t="shared" si="23"/>
        <v>44641</v>
      </c>
      <c r="AL84" s="5">
        <f t="shared" si="29"/>
        <v>1</v>
      </c>
      <c r="AM84" s="5">
        <f t="shared" si="24"/>
        <v>5</v>
      </c>
      <c r="AN84" s="4">
        <f t="shared" si="30"/>
        <v>4</v>
      </c>
    </row>
    <row r="85" spans="1:40">
      <c r="A85" s="13" t="s">
        <v>72</v>
      </c>
      <c r="B85" s="13" t="s">
        <v>73</v>
      </c>
      <c r="D85" s="4" t="s">
        <v>100</v>
      </c>
      <c r="E85" s="4" t="s">
        <v>27</v>
      </c>
      <c r="G85" s="15" t="s">
        <v>96</v>
      </c>
      <c r="H85" s="11" t="s">
        <v>92</v>
      </c>
      <c r="I85" s="5" t="s">
        <v>97</v>
      </c>
      <c r="J85" s="7" t="s">
        <v>98</v>
      </c>
      <c r="K85" s="5">
        <v>2</v>
      </c>
      <c r="L85" s="5">
        <v>1</v>
      </c>
      <c r="M85" s="5">
        <f t="shared" si="32"/>
        <v>2</v>
      </c>
      <c r="Q85" s="8" t="s">
        <v>528</v>
      </c>
      <c r="R85" s="8" t="s">
        <v>526</v>
      </c>
      <c r="S85" s="8" t="s">
        <v>97</v>
      </c>
      <c r="T85" s="8">
        <v>26</v>
      </c>
      <c r="U85" s="8">
        <v>1</v>
      </c>
      <c r="V85" s="8">
        <v>17</v>
      </c>
      <c r="W85" s="8">
        <v>26</v>
      </c>
      <c r="X85" s="8">
        <v>1</v>
      </c>
      <c r="Y85" s="8">
        <v>19</v>
      </c>
      <c r="Z85" s="8">
        <f>1000*(W85-T85)+100*(X85-U85)+(Y85-V85)</f>
        <v>2</v>
      </c>
      <c r="AA85" s="8">
        <v>3</v>
      </c>
      <c r="AC85" s="8" t="s">
        <v>523</v>
      </c>
      <c r="AD85" s="5" t="s">
        <v>539</v>
      </c>
      <c r="AE85" s="5">
        <f t="shared" si="21"/>
        <v>38329497</v>
      </c>
      <c r="AF85" s="5" t="b">
        <f t="shared" si="25"/>
        <v>0</v>
      </c>
      <c r="AG85" s="5" t="b">
        <f t="shared" si="26"/>
        <v>0</v>
      </c>
      <c r="AH85" s="5" t="b">
        <f t="shared" si="27"/>
        <v>1</v>
      </c>
      <c r="AI85" s="5" t="b">
        <f t="shared" si="28"/>
        <v>0</v>
      </c>
      <c r="AJ85" s="68">
        <f t="shared" si="22"/>
        <v>44577</v>
      </c>
      <c r="AK85" s="68">
        <f t="shared" si="23"/>
        <v>44579</v>
      </c>
      <c r="AL85" s="5">
        <f t="shared" si="29"/>
        <v>1</v>
      </c>
      <c r="AM85" s="5">
        <f t="shared" si="24"/>
        <v>3</v>
      </c>
      <c r="AN85" s="4">
        <f t="shared" si="30"/>
        <v>3</v>
      </c>
    </row>
    <row r="86" spans="1:40" ht="12" thickBot="1">
      <c r="A86" s="4" t="s">
        <v>33</v>
      </c>
      <c r="B86" s="4" t="s">
        <v>34</v>
      </c>
      <c r="C86" s="4" t="s">
        <v>35</v>
      </c>
      <c r="D86" s="4" t="s">
        <v>36</v>
      </c>
      <c r="E86" s="4" t="s">
        <v>27</v>
      </c>
      <c r="F86" s="5">
        <v>94609</v>
      </c>
      <c r="G86" s="51" t="s">
        <v>37</v>
      </c>
      <c r="H86" s="12" t="s">
        <v>38</v>
      </c>
      <c r="I86" s="5" t="s">
        <v>30</v>
      </c>
      <c r="J86" s="7" t="s">
        <v>31</v>
      </c>
      <c r="K86" s="5">
        <v>2</v>
      </c>
      <c r="L86" s="5">
        <v>1</v>
      </c>
      <c r="M86" s="5">
        <v>2</v>
      </c>
      <c r="Q86" s="8" t="s">
        <v>475</v>
      </c>
      <c r="R86" s="8">
        <v>5</v>
      </c>
      <c r="S86" s="8" t="s">
        <v>97</v>
      </c>
      <c r="T86" s="8">
        <v>26</v>
      </c>
      <c r="U86" s="8">
        <v>3</v>
      </c>
      <c r="V86" s="8">
        <v>27</v>
      </c>
      <c r="W86" s="8">
        <v>26</v>
      </c>
      <c r="X86" s="8">
        <v>3</v>
      </c>
      <c r="Y86" s="8">
        <v>29</v>
      </c>
      <c r="Z86" s="8">
        <f>1000*(W86-T86)+100*(X86-U86)+(Y86-V86)</f>
        <v>2</v>
      </c>
      <c r="AA86" s="8">
        <v>6</v>
      </c>
      <c r="AB86" s="8" t="s">
        <v>432</v>
      </c>
      <c r="AC86" s="8" t="s">
        <v>523</v>
      </c>
      <c r="AE86" s="5">
        <f t="shared" si="21"/>
        <v>38777112</v>
      </c>
      <c r="AF86" s="5" t="b">
        <f t="shared" si="25"/>
        <v>0</v>
      </c>
      <c r="AG86" s="5" t="b">
        <f t="shared" si="26"/>
        <v>0</v>
      </c>
      <c r="AH86" s="5" t="b">
        <f t="shared" si="27"/>
        <v>1</v>
      </c>
      <c r="AI86" s="5" t="b">
        <f t="shared" si="28"/>
        <v>0</v>
      </c>
      <c r="AJ86" s="68">
        <f t="shared" si="22"/>
        <v>44646</v>
      </c>
      <c r="AK86" s="68">
        <f t="shared" si="23"/>
        <v>44648</v>
      </c>
      <c r="AL86" s="5">
        <f t="shared" si="29"/>
        <v>5</v>
      </c>
      <c r="AM86" s="5">
        <f t="shared" si="24"/>
        <v>6</v>
      </c>
      <c r="AN86" s="4">
        <f t="shared" si="30"/>
        <v>4</v>
      </c>
    </row>
    <row r="87" spans="1:40" ht="12" thickBot="1">
      <c r="A87" s="9" t="s">
        <v>74</v>
      </c>
      <c r="B87" s="9" t="s">
        <v>75</v>
      </c>
      <c r="C87" s="4" t="s">
        <v>174</v>
      </c>
      <c r="D87" s="4" t="s">
        <v>32</v>
      </c>
      <c r="E87" s="4" t="s">
        <v>27</v>
      </c>
      <c r="F87" s="5">
        <v>94114</v>
      </c>
      <c r="G87" s="33" t="s">
        <v>82</v>
      </c>
      <c r="H87" s="11" t="s">
        <v>93</v>
      </c>
      <c r="I87" s="5" t="s">
        <v>97</v>
      </c>
      <c r="J87" s="7" t="s">
        <v>98</v>
      </c>
      <c r="K87" s="5">
        <v>3</v>
      </c>
      <c r="L87" s="5">
        <v>1</v>
      </c>
      <c r="M87" s="5">
        <f>K87*L87</f>
        <v>3</v>
      </c>
      <c r="Q87" s="8" t="s">
        <v>467</v>
      </c>
      <c r="R87" s="8">
        <v>1</v>
      </c>
      <c r="S87" s="8" t="s">
        <v>133</v>
      </c>
      <c r="T87" s="8">
        <v>26</v>
      </c>
      <c r="U87" s="8">
        <v>2</v>
      </c>
      <c r="V87" s="8">
        <v>27</v>
      </c>
      <c r="W87" s="8">
        <v>26</v>
      </c>
      <c r="X87" s="8">
        <v>3</v>
      </c>
      <c r="Y87" s="8">
        <v>1</v>
      </c>
      <c r="Z87" s="8">
        <v>2</v>
      </c>
      <c r="AA87" s="8">
        <v>15</v>
      </c>
      <c r="AC87" s="8" t="s">
        <v>523</v>
      </c>
      <c r="AE87" s="5">
        <f t="shared" si="21"/>
        <v>38833183</v>
      </c>
      <c r="AF87" s="5" t="b">
        <f t="shared" si="25"/>
        <v>0</v>
      </c>
      <c r="AG87" s="5" t="b">
        <f t="shared" si="26"/>
        <v>1</v>
      </c>
      <c r="AH87" s="5" t="b">
        <f t="shared" si="27"/>
        <v>0</v>
      </c>
      <c r="AI87" s="5" t="b">
        <f t="shared" si="28"/>
        <v>0</v>
      </c>
      <c r="AJ87" s="68">
        <f t="shared" si="22"/>
        <v>44618</v>
      </c>
      <c r="AK87" s="68">
        <f t="shared" si="23"/>
        <v>44620</v>
      </c>
      <c r="AL87" s="5">
        <f t="shared" si="29"/>
        <v>1</v>
      </c>
      <c r="AM87" s="5">
        <f t="shared" si="24"/>
        <v>15</v>
      </c>
      <c r="AN87" s="4">
        <f t="shared" si="30"/>
        <v>15</v>
      </c>
    </row>
    <row r="88" spans="1:40" ht="12" thickBot="1">
      <c r="A88" s="29" t="s">
        <v>61</v>
      </c>
      <c r="B88" s="29" t="s">
        <v>131</v>
      </c>
      <c r="D88" s="4" t="s">
        <v>132</v>
      </c>
      <c r="E88" s="4" t="s">
        <v>27</v>
      </c>
      <c r="G88" s="51" t="s">
        <v>147</v>
      </c>
      <c r="H88" s="10" t="s">
        <v>146</v>
      </c>
      <c r="I88" s="5" t="s">
        <v>133</v>
      </c>
      <c r="J88" s="7" t="s">
        <v>134</v>
      </c>
      <c r="K88" s="5">
        <v>1</v>
      </c>
      <c r="L88" s="5">
        <v>1</v>
      </c>
      <c r="M88" s="5">
        <f>K88*L88</f>
        <v>1</v>
      </c>
      <c r="N88" s="6" t="s">
        <v>202</v>
      </c>
      <c r="O88" s="8" t="s">
        <v>435</v>
      </c>
      <c r="Q88" s="8" t="s">
        <v>443</v>
      </c>
      <c r="R88" s="8">
        <v>1</v>
      </c>
      <c r="S88" s="8" t="s">
        <v>133</v>
      </c>
      <c r="T88" s="8">
        <v>26</v>
      </c>
      <c r="U88" s="8">
        <v>2</v>
      </c>
      <c r="V88" s="8">
        <v>20</v>
      </c>
      <c r="W88" s="8">
        <v>26</v>
      </c>
      <c r="X88" s="8">
        <v>2</v>
      </c>
      <c r="Y88" s="8">
        <v>23</v>
      </c>
      <c r="Z88" s="8">
        <f>1000*(W88-T88)+100*(X88-U88)+(Y88-V88)</f>
        <v>3</v>
      </c>
      <c r="AA88" s="8">
        <v>15</v>
      </c>
      <c r="AC88" s="8" t="s">
        <v>523</v>
      </c>
      <c r="AE88" s="5">
        <f t="shared" si="21"/>
        <v>39288456</v>
      </c>
      <c r="AF88" s="5" t="b">
        <f t="shared" si="25"/>
        <v>0</v>
      </c>
      <c r="AG88" s="5" t="b">
        <f t="shared" si="26"/>
        <v>1</v>
      </c>
      <c r="AH88" s="5" t="b">
        <f t="shared" si="27"/>
        <v>0</v>
      </c>
      <c r="AI88" s="5" t="b">
        <f t="shared" si="28"/>
        <v>0</v>
      </c>
      <c r="AJ88" s="68">
        <f t="shared" si="22"/>
        <v>44611</v>
      </c>
      <c r="AK88" s="68">
        <f t="shared" si="23"/>
        <v>44614</v>
      </c>
      <c r="AL88" s="5">
        <f t="shared" si="29"/>
        <v>1</v>
      </c>
      <c r="AM88" s="5">
        <f t="shared" si="24"/>
        <v>15</v>
      </c>
      <c r="AN88" s="4">
        <f t="shared" si="30"/>
        <v>15</v>
      </c>
    </row>
    <row r="89" spans="1:40" ht="12" thickBot="1">
      <c r="A89" s="18" t="s">
        <v>321</v>
      </c>
      <c r="B89" s="18" t="s">
        <v>322</v>
      </c>
      <c r="C89" s="4" t="s">
        <v>353</v>
      </c>
      <c r="D89" s="4" t="s">
        <v>138</v>
      </c>
      <c r="E89" s="4" t="s">
        <v>27</v>
      </c>
      <c r="F89" s="25">
        <v>95819</v>
      </c>
      <c r="G89" s="51" t="s">
        <v>354</v>
      </c>
      <c r="H89" s="24" t="s">
        <v>339</v>
      </c>
      <c r="I89" s="5" t="s">
        <v>15</v>
      </c>
      <c r="J89" s="7" t="s">
        <v>252</v>
      </c>
      <c r="K89" s="5">
        <v>2</v>
      </c>
      <c r="L89" s="5">
        <v>1</v>
      </c>
      <c r="M89" s="5">
        <f>K89*L89</f>
        <v>2</v>
      </c>
      <c r="Q89" s="8" t="s">
        <v>540</v>
      </c>
      <c r="R89" s="8" t="s">
        <v>526</v>
      </c>
      <c r="S89" s="8" t="s">
        <v>30</v>
      </c>
      <c r="T89" s="8">
        <v>26</v>
      </c>
      <c r="U89" s="8">
        <v>2</v>
      </c>
      <c r="V89" s="8">
        <v>20</v>
      </c>
      <c r="W89" s="8">
        <v>26</v>
      </c>
      <c r="X89" s="8">
        <v>2</v>
      </c>
      <c r="Y89" s="8">
        <v>22</v>
      </c>
      <c r="Z89" s="8">
        <f>1000*(W89-T89)+100*(X89-U89)+(Y89-V89)</f>
        <v>2</v>
      </c>
      <c r="AA89" s="8">
        <v>5</v>
      </c>
      <c r="AC89" s="8" t="s">
        <v>523</v>
      </c>
      <c r="AD89" s="5" t="s">
        <v>539</v>
      </c>
      <c r="AE89" s="5">
        <f t="shared" si="21"/>
        <v>39800422</v>
      </c>
      <c r="AF89" s="5" t="b">
        <f t="shared" si="25"/>
        <v>1</v>
      </c>
      <c r="AG89" s="5" t="b">
        <f t="shared" si="26"/>
        <v>0</v>
      </c>
      <c r="AH89" s="5" t="b">
        <f t="shared" si="27"/>
        <v>0</v>
      </c>
      <c r="AI89" s="5" t="b">
        <f t="shared" si="28"/>
        <v>0</v>
      </c>
      <c r="AJ89" s="68">
        <f t="shared" si="22"/>
        <v>44611</v>
      </c>
      <c r="AK89" s="68">
        <f t="shared" si="23"/>
        <v>44613</v>
      </c>
      <c r="AL89" s="5">
        <f t="shared" si="29"/>
        <v>1</v>
      </c>
      <c r="AM89" s="5">
        <f t="shared" si="24"/>
        <v>5</v>
      </c>
      <c r="AN89" s="4">
        <f t="shared" si="30"/>
        <v>5</v>
      </c>
    </row>
    <row r="90" spans="1:40" ht="13.5" thickBot="1">
      <c r="A90" s="28" t="s">
        <v>321</v>
      </c>
      <c r="B90" s="28" t="s">
        <v>379</v>
      </c>
      <c r="C90" s="4" t="s">
        <v>392</v>
      </c>
      <c r="D90" s="4" t="s">
        <v>32</v>
      </c>
      <c r="E90" s="4" t="s">
        <v>27</v>
      </c>
      <c r="G90" s="58" t="s">
        <v>399</v>
      </c>
      <c r="H90" s="27" t="s">
        <v>388</v>
      </c>
      <c r="I90" s="5" t="s">
        <v>390</v>
      </c>
      <c r="J90" s="7" t="s">
        <v>391</v>
      </c>
      <c r="K90" s="5">
        <v>2</v>
      </c>
      <c r="L90" s="5">
        <v>1</v>
      </c>
      <c r="M90" s="5">
        <f>K90*L90</f>
        <v>2</v>
      </c>
      <c r="Q90" s="8" t="s">
        <v>460</v>
      </c>
      <c r="R90" s="8">
        <v>1</v>
      </c>
      <c r="S90" s="8" t="s">
        <v>97</v>
      </c>
      <c r="T90" s="8">
        <v>26</v>
      </c>
      <c r="U90" s="8">
        <v>3</v>
      </c>
      <c r="V90" s="8">
        <v>19</v>
      </c>
      <c r="W90" s="8">
        <v>26</v>
      </c>
      <c r="X90" s="8">
        <v>3</v>
      </c>
      <c r="Y90" s="8">
        <v>20</v>
      </c>
      <c r="Z90" s="8">
        <f>1000*(W90-T90)+100*(X90-U90)+(Y90-V90)</f>
        <v>1</v>
      </c>
      <c r="AA90" s="8">
        <v>15</v>
      </c>
      <c r="AC90" s="8" t="s">
        <v>523</v>
      </c>
      <c r="AE90" s="5">
        <f t="shared" si="21"/>
        <v>39800454</v>
      </c>
      <c r="AF90" s="5" t="b">
        <f t="shared" si="25"/>
        <v>0</v>
      </c>
      <c r="AG90" s="5" t="b">
        <f t="shared" si="26"/>
        <v>0</v>
      </c>
      <c r="AH90" s="5" t="b">
        <f t="shared" si="27"/>
        <v>1</v>
      </c>
      <c r="AI90" s="5" t="b">
        <f t="shared" si="28"/>
        <v>0</v>
      </c>
      <c r="AJ90" s="68">
        <f t="shared" si="22"/>
        <v>44638</v>
      </c>
      <c r="AK90" s="68">
        <f t="shared" si="23"/>
        <v>44639</v>
      </c>
      <c r="AL90" s="5">
        <f t="shared" si="29"/>
        <v>1</v>
      </c>
      <c r="AM90" s="5">
        <f t="shared" si="24"/>
        <v>15</v>
      </c>
      <c r="AN90" s="4">
        <f t="shared" si="30"/>
        <v>15</v>
      </c>
    </row>
    <row r="91" spans="1:40" ht="13.5" thickBot="1">
      <c r="A91" s="28" t="s">
        <v>375</v>
      </c>
      <c r="B91" s="28" t="s">
        <v>376</v>
      </c>
      <c r="C91" s="4" t="s">
        <v>404</v>
      </c>
      <c r="D91" s="4" t="s">
        <v>36</v>
      </c>
      <c r="E91" s="4" t="s">
        <v>27</v>
      </c>
      <c r="F91" s="5">
        <v>94608</v>
      </c>
      <c r="G91" s="58" t="s">
        <v>397</v>
      </c>
      <c r="H91" s="27" t="s">
        <v>386</v>
      </c>
      <c r="I91" s="5" t="s">
        <v>390</v>
      </c>
      <c r="J91" s="7" t="s">
        <v>391</v>
      </c>
      <c r="K91" s="5">
        <v>2</v>
      </c>
      <c r="L91" s="5">
        <v>1</v>
      </c>
      <c r="M91" s="5">
        <f>K91*L91</f>
        <v>2</v>
      </c>
      <c r="Q91" s="8" t="s">
        <v>498</v>
      </c>
      <c r="R91" s="8">
        <v>4</v>
      </c>
      <c r="S91" s="8" t="s">
        <v>97</v>
      </c>
      <c r="T91" s="8">
        <v>26</v>
      </c>
      <c r="U91" s="8">
        <v>3</v>
      </c>
      <c r="V91" s="8">
        <v>13</v>
      </c>
      <c r="W91" s="8">
        <v>26</v>
      </c>
      <c r="X91" s="8">
        <v>3</v>
      </c>
      <c r="Y91" s="8">
        <v>15</v>
      </c>
      <c r="Z91" s="8">
        <f>1000*(W91-T91)+100*(X91-U91)+(Y91-V91)</f>
        <v>2</v>
      </c>
      <c r="AA91" s="8">
        <v>15</v>
      </c>
      <c r="AB91" s="8" t="s">
        <v>466</v>
      </c>
      <c r="AC91" s="8" t="s">
        <v>523</v>
      </c>
      <c r="AE91" s="5">
        <f t="shared" si="21"/>
        <v>40395911</v>
      </c>
      <c r="AF91" s="5" t="b">
        <f t="shared" si="25"/>
        <v>0</v>
      </c>
      <c r="AG91" s="5" t="b">
        <f t="shared" si="26"/>
        <v>0</v>
      </c>
      <c r="AH91" s="5" t="b">
        <f t="shared" si="27"/>
        <v>1</v>
      </c>
      <c r="AI91" s="5" t="b">
        <f t="shared" si="28"/>
        <v>0</v>
      </c>
      <c r="AJ91" s="68">
        <f t="shared" si="22"/>
        <v>44632</v>
      </c>
      <c r="AK91" s="68">
        <f t="shared" si="23"/>
        <v>44634</v>
      </c>
      <c r="AL91" s="5">
        <f t="shared" si="29"/>
        <v>4</v>
      </c>
      <c r="AM91" s="5">
        <f t="shared" si="24"/>
        <v>15</v>
      </c>
      <c r="AN91" s="4">
        <f t="shared" si="30"/>
        <v>11</v>
      </c>
    </row>
    <row r="92" spans="1:40" ht="12" thickBot="1">
      <c r="A92" s="32"/>
      <c r="B92" s="32"/>
      <c r="C92" s="1"/>
      <c r="D92" s="1"/>
      <c r="E92" s="1"/>
      <c r="F92" s="1"/>
      <c r="G92" s="66"/>
      <c r="H92" s="1"/>
      <c r="I92" s="1"/>
      <c r="J92" s="2"/>
      <c r="K92" s="1"/>
      <c r="L92" s="1"/>
      <c r="M92" s="1"/>
      <c r="N92" s="1"/>
    </row>
  </sheetData>
  <sortState ref="A2:AT92">
    <sortCondition ref="AE2:AE92"/>
  </sortState>
  <phoneticPr fontId="4"/>
  <hyperlinks>
    <hyperlink ref="H42" r:id="rId1" xr:uid="{EC864C0D-812F-C64D-9124-88337CC0CB4C}"/>
    <hyperlink ref="H70" r:id="rId2" xr:uid="{E049B73E-1A29-B94D-AFF7-F1736370AB9E}"/>
    <hyperlink ref="H86" r:id="rId3" xr:uid="{3EAC73A3-CB44-9345-A7BC-881D1A03E8E3}"/>
    <hyperlink ref="H17" r:id="rId4" xr:uid="{1F4FB9DF-35F6-0745-9C3E-68A582A095B1}"/>
    <hyperlink ref="H56" r:id="rId5" xr:uid="{56AD21DF-504D-9D44-B316-2C542BD02200}"/>
    <hyperlink ref="H6" r:id="rId6" display="mailto:hut.coord@yahoo.com" xr:uid="{0C20096B-AE3F-5E48-81AD-55023D3B1A9F}"/>
    <hyperlink ref="H8" r:id="rId7" xr:uid="{540FBE29-E2E6-E84C-9BC7-8B1F1400E38C}"/>
    <hyperlink ref="H61" r:id="rId8" xr:uid="{1539DE0A-65A5-B142-96BD-361B4787D25F}"/>
    <hyperlink ref="H9" r:id="rId9" xr:uid="{8C5F2489-DC29-504E-B06B-E6C21A014138}"/>
    <hyperlink ref="H33" r:id="rId10" xr:uid="{EE751BAE-BCFF-3044-B41E-492924161F32}"/>
    <hyperlink ref="H65" r:id="rId11" xr:uid="{C807E01F-EC24-2241-AFBD-F731051EED6B}"/>
    <hyperlink ref="H22" r:id="rId12" xr:uid="{817D18AE-600C-C542-9643-E921230378BF}"/>
    <hyperlink ref="H48" r:id="rId13" xr:uid="{646B81A7-8BCE-0544-AE19-23F1554BC614}"/>
    <hyperlink ref="H88" r:id="rId14" xr:uid="{9BB8FCAF-F6DB-1C46-9A31-AFEA622E167F}"/>
    <hyperlink ref="H43" r:id="rId15" xr:uid="{75660782-49A4-6C43-A40C-3DC45822868F}"/>
    <hyperlink ref="H14" r:id="rId16" xr:uid="{77B78234-02ED-3A42-8012-76FC135DB3FF}"/>
    <hyperlink ref="H45" r:id="rId17" xr:uid="{70E866C5-3801-734A-B0D3-431D41569205}"/>
    <hyperlink ref="H38" r:id="rId18" xr:uid="{83A0D311-F484-3B4B-B872-3861E7A0BDAD}"/>
    <hyperlink ref="H34" r:id="rId19" xr:uid="{612D6134-350A-3845-ACD4-B189838408BC}"/>
    <hyperlink ref="H29" r:id="rId20" xr:uid="{BE9B2920-D0BB-F54C-A246-4A594C85A7B5}"/>
    <hyperlink ref="H19" r:id="rId21" xr:uid="{697F414C-B28A-6E46-B612-C0830A34F051}"/>
    <hyperlink ref="H58" r:id="rId22" xr:uid="{BD76F662-3D63-4142-8309-00A4D00FDE92}"/>
    <hyperlink ref="H62" r:id="rId23" xr:uid="{645EEF43-5C86-C340-AF5B-5A6C5A53530C}"/>
    <hyperlink ref="H10" r:id="rId24" xr:uid="{A97134B8-F158-7A4D-A96F-51509C3B5239}"/>
    <hyperlink ref="H53" r:id="rId25" xr:uid="{AC162BF4-30DC-2D4D-B73E-A6669E50D258}"/>
    <hyperlink ref="H75" r:id="rId26" xr:uid="{F44E80C8-C801-2B48-B346-235D8F64DD72}"/>
    <hyperlink ref="H13" r:id="rId27" xr:uid="{F1EFEE60-438E-634D-B1FE-FB8230329F28}"/>
    <hyperlink ref="H3" r:id="rId28" xr:uid="{F2D61669-922D-1D49-A654-C452121DA132}"/>
    <hyperlink ref="H64" r:id="rId29" xr:uid="{2022C5DB-9763-914F-8E44-DFA22655B301}"/>
    <hyperlink ref="H71" r:id="rId30" xr:uid="{C7A03D5C-0EAE-244F-B2A5-7CE7885A1E3E}"/>
    <hyperlink ref="H11" r:id="rId31" xr:uid="{7A3044CC-A11C-0144-9EB2-42EBFF9B9A8C}"/>
    <hyperlink ref="H18" r:id="rId32" xr:uid="{222D3E6F-4CB8-CF46-B051-EFC1B13BDADF}"/>
    <hyperlink ref="H15" r:id="rId33" xr:uid="{34F48F67-C7D0-F24C-AD22-C9BBDF6A7B79}"/>
    <hyperlink ref="H63" r:id="rId34" xr:uid="{2AB218C9-B170-F34E-86CD-E6F786A4AD26}"/>
    <hyperlink ref="H44" r:id="rId35" xr:uid="{E0266D25-B629-DE45-BCD5-8F2888C44EBC}"/>
    <hyperlink ref="H40" r:id="rId36" xr:uid="{798F6BFC-3810-7442-ABD7-DA642C486B68}"/>
    <hyperlink ref="H25" r:id="rId37" xr:uid="{9D0CE09F-DFE0-C74C-ADB0-BD747473E14F}"/>
    <hyperlink ref="H31" r:id="rId38" xr:uid="{1F79C330-2035-4042-8F0B-86772683B0D4}"/>
    <hyperlink ref="H55" r:id="rId39" xr:uid="{33FC292A-E14A-EE43-84F4-F76484C456E8}"/>
    <hyperlink ref="H26" r:id="rId40" xr:uid="{D76738D0-95F5-854B-997F-5534230C4DC0}"/>
    <hyperlink ref="H28" r:id="rId41" xr:uid="{1837F67F-0CF0-FE4D-974B-DD7634EC366C}"/>
    <hyperlink ref="H68" r:id="rId42" xr:uid="{3BD245BC-B86B-234D-930E-E99E2A61631D}"/>
    <hyperlink ref="H59" r:id="rId43" xr:uid="{CD3A23BA-09C1-564B-9EB3-8E426D1160E6}"/>
    <hyperlink ref="H21" r:id="rId44" xr:uid="{A8E6ED30-491A-FC4A-B860-DC2E857C86A3}"/>
    <hyperlink ref="H32" r:id="rId45" display="mailto:tyler11alves@gmail.com" xr:uid="{CA9A5806-1A6B-5840-8BCC-E16BFBC583B0}"/>
    <hyperlink ref="H81" r:id="rId46" xr:uid="{966994F0-E298-294D-9F74-C0F41AFBA40F}"/>
    <hyperlink ref="H69" r:id="rId47" xr:uid="{F7FD7049-9DF1-E042-BBC7-EA55DAD305F1}"/>
    <hyperlink ref="H16" r:id="rId48" xr:uid="{71465725-4F80-1344-B22C-0BE67A393632}"/>
    <hyperlink ref="H79" r:id="rId49" xr:uid="{EC3510B4-740B-EC43-A246-E48FC10F427E}"/>
    <hyperlink ref="H89" r:id="rId50" xr:uid="{A231B2A9-6081-2947-8FEB-2FCD3F9EC14C}"/>
    <hyperlink ref="H46" r:id="rId51" display="mailto:rickards050@gmail.com" xr:uid="{3F2CDADF-37C7-B846-B07D-C3A5E1EC492A}"/>
    <hyperlink ref="H57" r:id="rId52" xr:uid="{5A18618F-2A7E-454E-8E47-3C95A83778A3}"/>
    <hyperlink ref="H35" r:id="rId53" xr:uid="{35C96859-23D7-D14A-853C-E80B31055F4E}"/>
    <hyperlink ref="H80" r:id="rId54" xr:uid="{49F0062A-D6C1-7C4F-9808-432AC1644264}"/>
    <hyperlink ref="H83" r:id="rId55" xr:uid="{DF62DB2D-E287-2143-8742-598C8BE63B39}"/>
    <hyperlink ref="H7" r:id="rId56" xr:uid="{07B345B3-F656-7648-8CFD-C2269EC4F9D7}"/>
    <hyperlink ref="H76" r:id="rId57" xr:uid="{76C25DBF-949A-4A44-BE59-0067BAB459BE}"/>
    <hyperlink ref="H78" r:id="rId58" xr:uid="{195B7F11-8430-7F4B-8765-F3B05797E664}"/>
    <hyperlink ref="H90" r:id="rId59" xr:uid="{78B33CF9-3DAE-E940-B375-2D0CB1F18F70}"/>
    <hyperlink ref="H39" r:id="rId60" xr:uid="{D5FED6C1-242D-6548-9535-A6BC5EFE6C59}"/>
    <hyperlink ref="H91" r:id="rId61" xr:uid="{97871624-67BA-1741-BC44-888C5CA6EBA2}"/>
    <hyperlink ref="H24" r:id="rId62" xr:uid="{2031B134-EC0C-934C-A4EA-C7066CD4E5DA}"/>
    <hyperlink ref="H27" r:id="rId63" xr:uid="{06F73A2A-6B2E-334A-B0A0-6D40A589C4C4}"/>
    <hyperlink ref="H82" r:id="rId64" xr:uid="{EECB69CA-0483-FC44-A22E-F4EE17EC6276}"/>
    <hyperlink ref="H54" r:id="rId65" xr:uid="{E2DF5057-1111-A04F-BC88-DD55F7F5B7D2}"/>
    <hyperlink ref="H4" r:id="rId66" xr:uid="{D3D5ECA8-3CE8-F341-955E-CED74B088261}"/>
    <hyperlink ref="H47" r:id="rId67" xr:uid="{2B282620-1095-DD44-B15A-7AF3B0DC62D8}"/>
    <hyperlink ref="H37" r:id="rId68" xr:uid="{A26E9071-2638-8644-B56D-343F71F2307F}"/>
    <hyperlink ref="H30" r:id="rId69" xr:uid="{3D3435CA-27EF-DE40-8B5D-8E04BECD0EF2}"/>
    <hyperlink ref="H36" r:id="rId70" xr:uid="{23DC5165-7844-B943-8063-A24AE37131D5}"/>
    <hyperlink ref="H72" r:id="rId71" xr:uid="{70A18130-2C59-6E40-86BB-90F250CEEDFF}"/>
    <hyperlink ref="H5" r:id="rId72" xr:uid="{26FED6AE-9B1D-B948-8BCB-202771B8085E}"/>
    <hyperlink ref="H74" r:id="rId73" xr:uid="{5D71EB65-FBC0-304E-B264-59DA4EF35B70}"/>
    <hyperlink ref="H51" r:id="rId74" xr:uid="{2E542964-A145-3A42-B587-A39478EB1173}"/>
    <hyperlink ref="H50" r:id="rId75" xr:uid="{2A04E086-FFEA-7D41-B518-FAAEDADD7F01}"/>
  </hyperlinks>
  <printOptions gridLines="1"/>
  <pageMargins left="0.75" right="0.75" top="1" bottom="1" header="0.5" footer="0.5"/>
  <pageSetup scale="54" fitToHeight="2" orientation="landscape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A77B4-D593-6F4A-80DF-516D81F2933E}">
  <dimension ref="A1:Q84"/>
  <sheetViews>
    <sheetView tabSelected="1" zoomScale="120" zoomScaleNormal="120" workbookViewId="0"/>
  </sheetViews>
  <sheetFormatPr defaultColWidth="11.19921875" defaultRowHeight="11.5"/>
  <sheetData>
    <row r="1" spans="1:17">
      <c r="A1" t="s">
        <v>566</v>
      </c>
      <c r="B1" t="s">
        <v>575</v>
      </c>
      <c r="C1" t="s">
        <v>580</v>
      </c>
      <c r="D1" t="s">
        <v>581</v>
      </c>
      <c r="E1" t="s">
        <v>658</v>
      </c>
      <c r="F1" t="s">
        <v>659</v>
      </c>
      <c r="G1" t="s">
        <v>660</v>
      </c>
      <c r="H1" t="s">
        <v>661</v>
      </c>
      <c r="I1" t="s">
        <v>0</v>
      </c>
      <c r="J1" t="s">
        <v>662</v>
      </c>
      <c r="K1" t="s">
        <v>576</v>
      </c>
      <c r="L1" t="s">
        <v>663</v>
      </c>
      <c r="M1" t="s">
        <v>577</v>
      </c>
      <c r="N1" t="s">
        <v>578</v>
      </c>
      <c r="O1" t="s">
        <v>564</v>
      </c>
      <c r="P1" t="s">
        <v>565</v>
      </c>
      <c r="Q1" t="s">
        <v>579</v>
      </c>
    </row>
    <row r="2" spans="1:17">
      <c r="A2">
        <v>1962792</v>
      </c>
      <c r="B2" t="s">
        <v>88</v>
      </c>
      <c r="C2" t="s">
        <v>63</v>
      </c>
      <c r="D2" t="s">
        <v>64</v>
      </c>
      <c r="F2" t="s">
        <v>36</v>
      </c>
      <c r="G2" t="s">
        <v>27</v>
      </c>
      <c r="I2" t="s">
        <v>77</v>
      </c>
      <c r="K2">
        <v>2</v>
      </c>
      <c r="N2" t="b">
        <v>0</v>
      </c>
    </row>
    <row r="3" spans="1:17">
      <c r="A3">
        <v>1969495</v>
      </c>
      <c r="B3" t="s">
        <v>228</v>
      </c>
      <c r="C3" t="s">
        <v>226</v>
      </c>
      <c r="D3" t="s">
        <v>210</v>
      </c>
      <c r="F3" t="s">
        <v>32</v>
      </c>
      <c r="G3" t="s">
        <v>27</v>
      </c>
      <c r="I3" t="s">
        <v>227</v>
      </c>
      <c r="K3">
        <v>2</v>
      </c>
      <c r="N3" t="b">
        <v>0</v>
      </c>
    </row>
    <row r="4" spans="1:17">
      <c r="A4">
        <v>1975905</v>
      </c>
      <c r="B4" t="s">
        <v>413</v>
      </c>
      <c r="C4" t="s">
        <v>49</v>
      </c>
      <c r="D4" t="s">
        <v>53</v>
      </c>
      <c r="F4" t="s">
        <v>51</v>
      </c>
      <c r="G4" t="s">
        <v>27</v>
      </c>
      <c r="I4" t="s">
        <v>52</v>
      </c>
      <c r="K4">
        <v>2</v>
      </c>
      <c r="N4" t="b">
        <v>0</v>
      </c>
    </row>
    <row r="5" spans="1:17">
      <c r="A5">
        <v>2009181</v>
      </c>
      <c r="B5" t="s">
        <v>84</v>
      </c>
      <c r="C5" t="s">
        <v>55</v>
      </c>
      <c r="D5" t="s">
        <v>56</v>
      </c>
      <c r="F5" t="s">
        <v>99</v>
      </c>
      <c r="G5" t="s">
        <v>27</v>
      </c>
      <c r="I5" t="s">
        <v>83</v>
      </c>
      <c r="K5">
        <v>14</v>
      </c>
      <c r="N5" t="b">
        <v>1</v>
      </c>
    </row>
    <row r="6" spans="1:17">
      <c r="A6">
        <v>3147593</v>
      </c>
      <c r="B6" t="s">
        <v>347</v>
      </c>
      <c r="C6" t="s">
        <v>333</v>
      </c>
      <c r="D6" t="s">
        <v>334</v>
      </c>
      <c r="F6" t="s">
        <v>32</v>
      </c>
      <c r="G6" t="s">
        <v>27</v>
      </c>
      <c r="I6" t="s">
        <v>368</v>
      </c>
      <c r="K6">
        <v>2</v>
      </c>
      <c r="N6" t="b">
        <v>0</v>
      </c>
    </row>
    <row r="7" spans="1:17">
      <c r="A7">
        <v>3486858</v>
      </c>
      <c r="B7" t="s">
        <v>106</v>
      </c>
      <c r="C7" t="s">
        <v>104</v>
      </c>
      <c r="D7" t="s">
        <v>105</v>
      </c>
      <c r="F7" t="s">
        <v>32</v>
      </c>
      <c r="G7" t="s">
        <v>27</v>
      </c>
      <c r="I7" t="s">
        <v>130</v>
      </c>
      <c r="K7">
        <v>4</v>
      </c>
      <c r="N7" t="b">
        <v>0</v>
      </c>
    </row>
    <row r="8" spans="1:17">
      <c r="A8">
        <v>7212312</v>
      </c>
      <c r="B8" t="s">
        <v>129</v>
      </c>
      <c r="C8" t="s">
        <v>114</v>
      </c>
      <c r="D8" t="s">
        <v>115</v>
      </c>
      <c r="F8" t="s">
        <v>32</v>
      </c>
      <c r="G8" t="s">
        <v>27</v>
      </c>
      <c r="I8" t="s">
        <v>117</v>
      </c>
      <c r="K8">
        <v>2</v>
      </c>
      <c r="N8" t="b">
        <v>0</v>
      </c>
    </row>
    <row r="9" spans="1:17">
      <c r="A9">
        <v>27044381</v>
      </c>
      <c r="B9" t="s">
        <v>217</v>
      </c>
      <c r="C9" t="s">
        <v>203</v>
      </c>
      <c r="D9" t="s">
        <v>204</v>
      </c>
      <c r="F9" t="s">
        <v>118</v>
      </c>
      <c r="G9" t="s">
        <v>27</v>
      </c>
      <c r="I9" t="s">
        <v>312</v>
      </c>
      <c r="K9">
        <v>2</v>
      </c>
      <c r="N9" t="b">
        <v>0</v>
      </c>
    </row>
    <row r="10" spans="1:17">
      <c r="A10">
        <v>28075512</v>
      </c>
      <c r="B10" t="s">
        <v>238</v>
      </c>
      <c r="C10" t="s">
        <v>215</v>
      </c>
      <c r="D10" t="s">
        <v>235</v>
      </c>
      <c r="F10" t="s">
        <v>32</v>
      </c>
      <c r="G10" t="s">
        <v>27</v>
      </c>
      <c r="I10" t="s">
        <v>237</v>
      </c>
      <c r="K10">
        <v>2</v>
      </c>
      <c r="N10" t="b">
        <v>0</v>
      </c>
    </row>
    <row r="11" spans="1:17">
      <c r="A11">
        <v>28075894</v>
      </c>
      <c r="B11" t="s">
        <v>90</v>
      </c>
      <c r="C11" t="s">
        <v>67</v>
      </c>
      <c r="D11" t="s">
        <v>68</v>
      </c>
      <c r="F11" t="s">
        <v>32</v>
      </c>
      <c r="G11" t="s">
        <v>27</v>
      </c>
      <c r="I11" t="s">
        <v>79</v>
      </c>
      <c r="K11">
        <v>2</v>
      </c>
      <c r="N11" t="b">
        <v>0</v>
      </c>
    </row>
    <row r="12" spans="1:17">
      <c r="A12">
        <v>28090137</v>
      </c>
      <c r="B12" t="s">
        <v>225</v>
      </c>
      <c r="C12" t="s">
        <v>213</v>
      </c>
      <c r="D12" t="s">
        <v>214</v>
      </c>
      <c r="F12" t="s">
        <v>32</v>
      </c>
      <c r="G12" t="s">
        <v>27</v>
      </c>
      <c r="I12" t="s">
        <v>224</v>
      </c>
      <c r="K12">
        <v>2</v>
      </c>
      <c r="N12" t="b">
        <v>0</v>
      </c>
    </row>
    <row r="13" spans="1:17">
      <c r="A13">
        <v>28106784</v>
      </c>
      <c r="B13" t="s">
        <v>161</v>
      </c>
      <c r="C13" t="s">
        <v>150</v>
      </c>
      <c r="D13" t="s">
        <v>151</v>
      </c>
      <c r="F13" t="s">
        <v>118</v>
      </c>
      <c r="G13" t="s">
        <v>27</v>
      </c>
      <c r="I13" t="s">
        <v>179</v>
      </c>
      <c r="K13">
        <v>2</v>
      </c>
      <c r="N13" t="b">
        <v>0</v>
      </c>
    </row>
    <row r="14" spans="1:17">
      <c r="A14">
        <v>28107425</v>
      </c>
      <c r="B14" t="s">
        <v>248</v>
      </c>
      <c r="C14" t="s">
        <v>245</v>
      </c>
      <c r="D14" t="s">
        <v>542</v>
      </c>
      <c r="F14" t="s">
        <v>100</v>
      </c>
      <c r="G14" t="s">
        <v>27</v>
      </c>
      <c r="I14" t="s">
        <v>246</v>
      </c>
      <c r="K14">
        <v>1</v>
      </c>
      <c r="N14" t="b">
        <v>0</v>
      </c>
    </row>
    <row r="15" spans="1:17">
      <c r="A15">
        <v>28107495</v>
      </c>
      <c r="B15" t="s">
        <v>337</v>
      </c>
      <c r="C15" t="s">
        <v>226</v>
      </c>
      <c r="D15" t="s">
        <v>318</v>
      </c>
      <c r="F15" t="s">
        <v>32</v>
      </c>
      <c r="G15" t="s">
        <v>27</v>
      </c>
      <c r="I15" t="s">
        <v>351</v>
      </c>
      <c r="K15">
        <v>2</v>
      </c>
      <c r="N15" t="b">
        <v>0</v>
      </c>
    </row>
    <row r="16" spans="1:17">
      <c r="A16">
        <v>28120707</v>
      </c>
      <c r="B16" t="s">
        <v>43</v>
      </c>
      <c r="C16" t="s">
        <v>39</v>
      </c>
      <c r="D16" t="s">
        <v>40</v>
      </c>
      <c r="F16" t="s">
        <v>36</v>
      </c>
      <c r="G16" t="s">
        <v>27</v>
      </c>
      <c r="I16" t="s">
        <v>42</v>
      </c>
      <c r="K16">
        <v>2</v>
      </c>
      <c r="N16" t="b">
        <v>0</v>
      </c>
    </row>
    <row r="17" spans="1:14">
      <c r="A17">
        <v>28664534</v>
      </c>
      <c r="B17" t="s">
        <v>247</v>
      </c>
      <c r="C17" t="s">
        <v>241</v>
      </c>
      <c r="D17" t="s">
        <v>242</v>
      </c>
      <c r="F17" t="s">
        <v>100</v>
      </c>
      <c r="G17" t="s">
        <v>27</v>
      </c>
      <c r="I17" t="s">
        <v>244</v>
      </c>
      <c r="K17">
        <v>1</v>
      </c>
      <c r="N17" t="b">
        <v>0</v>
      </c>
    </row>
    <row r="18" spans="1:14">
      <c r="A18">
        <v>29023353</v>
      </c>
      <c r="B18" t="s">
        <v>86</v>
      </c>
      <c r="C18" t="s">
        <v>59</v>
      </c>
      <c r="D18" t="s">
        <v>60</v>
      </c>
      <c r="F18" t="s">
        <v>100</v>
      </c>
      <c r="G18" t="s">
        <v>27</v>
      </c>
      <c r="I18" t="s">
        <v>94</v>
      </c>
      <c r="K18">
        <v>2</v>
      </c>
      <c r="N18" t="b">
        <v>0</v>
      </c>
    </row>
    <row r="19" spans="1:14">
      <c r="A19">
        <v>29047823</v>
      </c>
      <c r="B19" t="s">
        <v>308</v>
      </c>
      <c r="C19" t="s">
        <v>303</v>
      </c>
      <c r="D19" t="s">
        <v>304</v>
      </c>
      <c r="F19" t="s">
        <v>306</v>
      </c>
      <c r="G19" t="s">
        <v>27</v>
      </c>
      <c r="I19" t="s">
        <v>307</v>
      </c>
      <c r="K19">
        <v>2</v>
      </c>
      <c r="N19" t="b">
        <v>0</v>
      </c>
    </row>
    <row r="20" spans="1:14">
      <c r="A20">
        <v>29098784</v>
      </c>
      <c r="B20" t="s">
        <v>144</v>
      </c>
      <c r="C20" t="s">
        <v>139</v>
      </c>
      <c r="D20" t="s">
        <v>140</v>
      </c>
      <c r="F20" t="s">
        <v>142</v>
      </c>
      <c r="G20" t="s">
        <v>102</v>
      </c>
      <c r="I20" t="s">
        <v>143</v>
      </c>
      <c r="K20">
        <v>3</v>
      </c>
      <c r="N20" t="b">
        <v>0</v>
      </c>
    </row>
    <row r="21" spans="1:14">
      <c r="A21">
        <v>29099095</v>
      </c>
      <c r="B21" t="s">
        <v>313</v>
      </c>
      <c r="C21" t="s">
        <v>187</v>
      </c>
      <c r="D21" t="s">
        <v>140</v>
      </c>
      <c r="F21" t="s">
        <v>583</v>
      </c>
      <c r="G21" t="s">
        <v>583</v>
      </c>
      <c r="I21" t="s">
        <v>489</v>
      </c>
      <c r="K21">
        <v>2</v>
      </c>
      <c r="N21" t="b">
        <v>0</v>
      </c>
    </row>
    <row r="22" spans="1:14">
      <c r="A22">
        <v>29144226</v>
      </c>
      <c r="B22" t="s">
        <v>385</v>
      </c>
      <c r="C22" t="s">
        <v>373</v>
      </c>
      <c r="D22" t="s">
        <v>374</v>
      </c>
      <c r="F22" t="s">
        <v>36</v>
      </c>
      <c r="G22" t="s">
        <v>27</v>
      </c>
      <c r="I22" t="s">
        <v>396</v>
      </c>
      <c r="K22">
        <v>1</v>
      </c>
      <c r="N22" t="b">
        <v>0</v>
      </c>
    </row>
    <row r="23" spans="1:14">
      <c r="A23">
        <v>29176534</v>
      </c>
      <c r="B23" t="s">
        <v>267</v>
      </c>
      <c r="C23" t="s">
        <v>241</v>
      </c>
      <c r="D23" t="s">
        <v>264</v>
      </c>
      <c r="F23" t="s">
        <v>32</v>
      </c>
      <c r="G23" t="s">
        <v>27</v>
      </c>
      <c r="I23" t="s">
        <v>266</v>
      </c>
      <c r="K23">
        <v>2</v>
      </c>
      <c r="N23" t="b">
        <v>0</v>
      </c>
    </row>
    <row r="24" spans="1:14">
      <c r="A24">
        <v>29618303</v>
      </c>
      <c r="B24" t="s">
        <v>281</v>
      </c>
      <c r="C24" t="s">
        <v>277</v>
      </c>
      <c r="D24" t="s">
        <v>278</v>
      </c>
      <c r="F24" t="s">
        <v>32</v>
      </c>
      <c r="G24" t="s">
        <v>27</v>
      </c>
      <c r="I24" t="s">
        <v>280</v>
      </c>
      <c r="K24">
        <v>2</v>
      </c>
      <c r="N24" t="b">
        <v>0</v>
      </c>
    </row>
    <row r="25" spans="1:14">
      <c r="A25">
        <v>30097345</v>
      </c>
      <c r="B25" t="s">
        <v>384</v>
      </c>
      <c r="C25" t="s">
        <v>371</v>
      </c>
      <c r="D25" t="s">
        <v>372</v>
      </c>
      <c r="F25" t="s">
        <v>32</v>
      </c>
      <c r="G25" t="s">
        <v>27</v>
      </c>
      <c r="I25" t="s">
        <v>395</v>
      </c>
      <c r="K25">
        <v>2</v>
      </c>
      <c r="N25" t="b">
        <v>0</v>
      </c>
    </row>
    <row r="26" spans="1:14">
      <c r="A26">
        <v>30109983</v>
      </c>
      <c r="B26" t="s">
        <v>291</v>
      </c>
      <c r="C26" t="s">
        <v>286</v>
      </c>
      <c r="D26" t="s">
        <v>287</v>
      </c>
      <c r="F26" t="s">
        <v>289</v>
      </c>
      <c r="G26" t="s">
        <v>27</v>
      </c>
      <c r="I26" t="s">
        <v>290</v>
      </c>
      <c r="K26">
        <v>2</v>
      </c>
      <c r="N26" t="b">
        <v>0</v>
      </c>
    </row>
    <row r="27" spans="1:14">
      <c r="A27">
        <v>30111101</v>
      </c>
      <c r="B27" t="s">
        <v>197</v>
      </c>
      <c r="C27" t="s">
        <v>185</v>
      </c>
      <c r="D27" t="s">
        <v>186</v>
      </c>
      <c r="F27" t="s">
        <v>583</v>
      </c>
      <c r="G27" t="s">
        <v>583</v>
      </c>
      <c r="I27" t="s">
        <v>477</v>
      </c>
      <c r="K27">
        <v>2</v>
      </c>
      <c r="N27" t="b">
        <v>0</v>
      </c>
    </row>
    <row r="28" spans="1:14">
      <c r="A28">
        <v>30111585</v>
      </c>
      <c r="B28" t="s">
        <v>411</v>
      </c>
      <c r="C28" t="s">
        <v>268</v>
      </c>
      <c r="D28" t="s">
        <v>410</v>
      </c>
      <c r="F28" t="s">
        <v>32</v>
      </c>
      <c r="G28" t="s">
        <v>27</v>
      </c>
      <c r="I28" t="s">
        <v>270</v>
      </c>
      <c r="K28">
        <v>2</v>
      </c>
      <c r="N28" t="b">
        <v>0</v>
      </c>
    </row>
    <row r="29" spans="1:14">
      <c r="A29">
        <v>30118313</v>
      </c>
      <c r="B29" t="s">
        <v>309</v>
      </c>
      <c r="C29" t="s">
        <v>195</v>
      </c>
      <c r="D29" t="s">
        <v>196</v>
      </c>
      <c r="F29" t="s">
        <v>583</v>
      </c>
      <c r="G29" t="s">
        <v>583</v>
      </c>
      <c r="I29" t="s">
        <v>494</v>
      </c>
      <c r="K29">
        <v>2</v>
      </c>
      <c r="N29" t="b">
        <v>0</v>
      </c>
    </row>
    <row r="30" spans="1:14">
      <c r="A30">
        <v>30129177</v>
      </c>
      <c r="B30" t="s">
        <v>124</v>
      </c>
      <c r="C30" t="s">
        <v>119</v>
      </c>
      <c r="D30" t="s">
        <v>120</v>
      </c>
      <c r="F30" t="s">
        <v>122</v>
      </c>
      <c r="G30" t="s">
        <v>27</v>
      </c>
      <c r="I30" t="s">
        <v>123</v>
      </c>
      <c r="K30">
        <v>2</v>
      </c>
      <c r="N30" t="b">
        <v>0</v>
      </c>
    </row>
    <row r="31" spans="1:14">
      <c r="A31">
        <v>31583107</v>
      </c>
      <c r="B31" t="s">
        <v>165</v>
      </c>
      <c r="C31" t="s">
        <v>158</v>
      </c>
      <c r="D31" t="s">
        <v>159</v>
      </c>
      <c r="F31" t="s">
        <v>47</v>
      </c>
      <c r="G31" t="s">
        <v>27</v>
      </c>
      <c r="I31" t="s">
        <v>173</v>
      </c>
      <c r="K31">
        <v>4</v>
      </c>
      <c r="N31" t="b">
        <v>0</v>
      </c>
    </row>
    <row r="32" spans="1:14">
      <c r="A32">
        <v>31698303</v>
      </c>
      <c r="B32" t="s">
        <v>344</v>
      </c>
      <c r="C32" t="s">
        <v>328</v>
      </c>
      <c r="D32" t="s">
        <v>329</v>
      </c>
      <c r="F32" t="s">
        <v>583</v>
      </c>
      <c r="G32" t="s">
        <v>583</v>
      </c>
      <c r="I32" t="s">
        <v>547</v>
      </c>
      <c r="K32">
        <v>2</v>
      </c>
      <c r="N32" t="b">
        <v>0</v>
      </c>
    </row>
    <row r="33" spans="1:14">
      <c r="A33">
        <v>32095336</v>
      </c>
      <c r="B33" t="s">
        <v>164</v>
      </c>
      <c r="C33" t="s">
        <v>156</v>
      </c>
      <c r="D33" t="s">
        <v>157</v>
      </c>
      <c r="F33" t="s">
        <v>170</v>
      </c>
      <c r="G33" t="s">
        <v>27</v>
      </c>
      <c r="I33" t="s">
        <v>171</v>
      </c>
      <c r="K33">
        <v>2</v>
      </c>
      <c r="N33" t="b">
        <v>0</v>
      </c>
    </row>
    <row r="34" spans="1:14">
      <c r="A34">
        <v>32177177</v>
      </c>
      <c r="B34" t="s">
        <v>387</v>
      </c>
      <c r="C34" t="s">
        <v>377</v>
      </c>
      <c r="D34" t="s">
        <v>378</v>
      </c>
      <c r="F34" t="s">
        <v>583</v>
      </c>
      <c r="G34" t="s">
        <v>583</v>
      </c>
      <c r="I34" t="s">
        <v>398</v>
      </c>
      <c r="K34">
        <v>2</v>
      </c>
      <c r="N34" t="b">
        <v>0</v>
      </c>
    </row>
    <row r="35" spans="1:14">
      <c r="A35">
        <v>32203336</v>
      </c>
      <c r="B35" t="s">
        <v>87</v>
      </c>
      <c r="C35" t="s">
        <v>61</v>
      </c>
      <c r="D35" t="s">
        <v>62</v>
      </c>
      <c r="F35" t="s">
        <v>583</v>
      </c>
      <c r="G35" t="s">
        <v>583</v>
      </c>
      <c r="I35" t="s">
        <v>95</v>
      </c>
      <c r="K35">
        <v>2</v>
      </c>
      <c r="N35" t="b">
        <v>0</v>
      </c>
    </row>
    <row r="36" spans="1:14">
      <c r="A36">
        <v>32222463</v>
      </c>
      <c r="B36" t="s">
        <v>21</v>
      </c>
      <c r="C36" t="s">
        <v>14</v>
      </c>
      <c r="D36" t="s">
        <v>16</v>
      </c>
      <c r="F36" t="s">
        <v>583</v>
      </c>
      <c r="G36" t="s">
        <v>583</v>
      </c>
      <c r="I36" t="s">
        <v>442</v>
      </c>
      <c r="K36">
        <v>1</v>
      </c>
      <c r="N36" t="b">
        <v>0</v>
      </c>
    </row>
    <row r="37" spans="1:14">
      <c r="A37">
        <v>32223105</v>
      </c>
      <c r="B37" t="s">
        <v>160</v>
      </c>
      <c r="C37" t="s">
        <v>148</v>
      </c>
      <c r="D37" t="s">
        <v>149</v>
      </c>
      <c r="F37" t="s">
        <v>118</v>
      </c>
      <c r="G37" t="s">
        <v>27</v>
      </c>
      <c r="I37" t="s">
        <v>178</v>
      </c>
      <c r="K37">
        <v>2</v>
      </c>
      <c r="N37" t="b">
        <v>0</v>
      </c>
    </row>
    <row r="38" spans="1:14">
      <c r="A38">
        <v>32241505</v>
      </c>
      <c r="B38" t="s">
        <v>258</v>
      </c>
      <c r="C38" t="s">
        <v>253</v>
      </c>
      <c r="D38" t="s">
        <v>254</v>
      </c>
      <c r="F38" t="s">
        <v>256</v>
      </c>
      <c r="G38" t="s">
        <v>27</v>
      </c>
      <c r="I38" t="s">
        <v>257</v>
      </c>
      <c r="K38">
        <v>2</v>
      </c>
      <c r="N38" t="b">
        <v>0</v>
      </c>
    </row>
    <row r="39" spans="1:14">
      <c r="A39">
        <v>33131427</v>
      </c>
      <c r="B39" t="s">
        <v>163</v>
      </c>
      <c r="C39" t="s">
        <v>154</v>
      </c>
      <c r="D39" t="s">
        <v>155</v>
      </c>
      <c r="F39" t="s">
        <v>32</v>
      </c>
      <c r="G39" t="s">
        <v>27</v>
      </c>
      <c r="I39" t="s">
        <v>176</v>
      </c>
      <c r="K39">
        <v>2</v>
      </c>
      <c r="N39" t="b">
        <v>0</v>
      </c>
    </row>
    <row r="40" spans="1:14">
      <c r="A40">
        <v>33131431</v>
      </c>
      <c r="B40" t="s">
        <v>342</v>
      </c>
      <c r="C40" t="s">
        <v>57</v>
      </c>
      <c r="D40" t="s">
        <v>325</v>
      </c>
      <c r="F40" t="s">
        <v>358</v>
      </c>
      <c r="G40" t="s">
        <v>27</v>
      </c>
      <c r="I40" t="s">
        <v>359</v>
      </c>
      <c r="K40">
        <v>2</v>
      </c>
      <c r="N40" t="b">
        <v>0</v>
      </c>
    </row>
    <row r="41" spans="1:14">
      <c r="A41">
        <v>33182627</v>
      </c>
      <c r="B41" t="s">
        <v>414</v>
      </c>
      <c r="C41" t="s">
        <v>282</v>
      </c>
      <c r="D41" t="s">
        <v>283</v>
      </c>
      <c r="F41" t="s">
        <v>221</v>
      </c>
      <c r="G41" t="s">
        <v>27</v>
      </c>
      <c r="I41" t="s">
        <v>285</v>
      </c>
      <c r="K41">
        <v>2</v>
      </c>
      <c r="N41" t="b">
        <v>0</v>
      </c>
    </row>
    <row r="42" spans="1:14">
      <c r="A42">
        <v>33701021</v>
      </c>
      <c r="B42" t="s">
        <v>145</v>
      </c>
      <c r="C42" t="s">
        <v>61</v>
      </c>
      <c r="D42" t="s">
        <v>135</v>
      </c>
      <c r="F42" t="s">
        <v>47</v>
      </c>
      <c r="G42" t="s">
        <v>27</v>
      </c>
      <c r="I42" t="s">
        <v>137</v>
      </c>
      <c r="K42">
        <v>2</v>
      </c>
      <c r="N42" t="b">
        <v>0</v>
      </c>
    </row>
    <row r="43" spans="1:14">
      <c r="A43">
        <v>33701036</v>
      </c>
      <c r="B43" t="s">
        <v>336</v>
      </c>
      <c r="C43" t="s">
        <v>316</v>
      </c>
      <c r="D43" t="s">
        <v>317</v>
      </c>
      <c r="F43" t="s">
        <v>32</v>
      </c>
      <c r="G43" t="s">
        <v>27</v>
      </c>
      <c r="I43" t="s">
        <v>349</v>
      </c>
      <c r="K43">
        <v>2</v>
      </c>
      <c r="N43" t="b">
        <v>0</v>
      </c>
    </row>
    <row r="44" spans="1:14">
      <c r="A44">
        <v>33701501</v>
      </c>
      <c r="B44" t="s">
        <v>552</v>
      </c>
      <c r="C44" t="s">
        <v>548</v>
      </c>
      <c r="D44" t="s">
        <v>320</v>
      </c>
      <c r="F44" t="s">
        <v>583</v>
      </c>
      <c r="G44" t="s">
        <v>583</v>
      </c>
      <c r="I44" t="s">
        <v>550</v>
      </c>
      <c r="K44">
        <v>2</v>
      </c>
      <c r="N44" t="b">
        <v>0</v>
      </c>
    </row>
    <row r="45" spans="1:14">
      <c r="A45">
        <v>33721337</v>
      </c>
      <c r="B45" t="s">
        <v>534</v>
      </c>
      <c r="C45" t="s">
        <v>213</v>
      </c>
      <c r="D45" t="s">
        <v>532</v>
      </c>
      <c r="F45" t="s">
        <v>583</v>
      </c>
      <c r="G45" t="s">
        <v>583</v>
      </c>
      <c r="I45" t="s">
        <v>533</v>
      </c>
      <c r="K45">
        <v>2</v>
      </c>
      <c r="N45" t="b">
        <v>0</v>
      </c>
    </row>
    <row r="46" spans="1:14">
      <c r="A46">
        <v>34226706</v>
      </c>
      <c r="B46" t="s">
        <v>162</v>
      </c>
      <c r="C46" t="s">
        <v>152</v>
      </c>
      <c r="D46" t="s">
        <v>153</v>
      </c>
      <c r="F46" t="s">
        <v>47</v>
      </c>
      <c r="G46" t="s">
        <v>27</v>
      </c>
      <c r="I46" t="s">
        <v>168</v>
      </c>
      <c r="K46">
        <v>2</v>
      </c>
      <c r="N46" t="b">
        <v>0</v>
      </c>
    </row>
    <row r="47" spans="1:14">
      <c r="A47">
        <v>34654536</v>
      </c>
      <c r="B47" t="s">
        <v>412</v>
      </c>
      <c r="C47" t="s">
        <v>205</v>
      </c>
      <c r="D47" t="s">
        <v>206</v>
      </c>
      <c r="F47" t="s">
        <v>32</v>
      </c>
      <c r="G47" t="s">
        <v>27</v>
      </c>
      <c r="I47" t="s">
        <v>219</v>
      </c>
      <c r="K47">
        <v>2</v>
      </c>
      <c r="N47" t="b">
        <v>0</v>
      </c>
    </row>
    <row r="48" spans="1:14">
      <c r="A48">
        <v>34655911</v>
      </c>
      <c r="B48" t="s">
        <v>407</v>
      </c>
      <c r="C48" t="s">
        <v>71</v>
      </c>
      <c r="D48" t="s">
        <v>70</v>
      </c>
      <c r="F48" t="s">
        <v>583</v>
      </c>
      <c r="G48" t="s">
        <v>583</v>
      </c>
      <c r="I48" t="s">
        <v>81</v>
      </c>
      <c r="K48">
        <v>2</v>
      </c>
      <c r="N48" t="b">
        <v>0</v>
      </c>
    </row>
    <row r="49" spans="1:14">
      <c r="A49">
        <v>34680471</v>
      </c>
      <c r="B49" t="s">
        <v>276</v>
      </c>
      <c r="C49" t="s">
        <v>271</v>
      </c>
      <c r="D49" t="s">
        <v>272</v>
      </c>
      <c r="F49" t="s">
        <v>274</v>
      </c>
      <c r="G49" t="s">
        <v>27</v>
      </c>
      <c r="I49" t="s">
        <v>275</v>
      </c>
      <c r="K49">
        <v>2</v>
      </c>
      <c r="N49" t="b">
        <v>0</v>
      </c>
    </row>
    <row r="50" spans="1:14">
      <c r="A50">
        <v>34705185</v>
      </c>
      <c r="B50" t="s">
        <v>54</v>
      </c>
      <c r="C50" t="s">
        <v>44</v>
      </c>
      <c r="D50" t="s">
        <v>45</v>
      </c>
      <c r="F50" t="s">
        <v>47</v>
      </c>
      <c r="G50" t="s">
        <v>27</v>
      </c>
      <c r="I50" t="s">
        <v>48</v>
      </c>
      <c r="K50">
        <v>2</v>
      </c>
      <c r="N50" t="b">
        <v>0</v>
      </c>
    </row>
    <row r="51" spans="1:14">
      <c r="A51">
        <v>34706538</v>
      </c>
      <c r="B51" t="s">
        <v>343</v>
      </c>
      <c r="C51" t="s">
        <v>326</v>
      </c>
      <c r="D51" t="s">
        <v>327</v>
      </c>
      <c r="F51" t="s">
        <v>583</v>
      </c>
      <c r="G51" t="s">
        <v>583</v>
      </c>
      <c r="I51" t="s">
        <v>516</v>
      </c>
      <c r="K51">
        <v>2</v>
      </c>
      <c r="N51" t="b">
        <v>0</v>
      </c>
    </row>
    <row r="52" spans="1:14">
      <c r="A52">
        <v>34737193</v>
      </c>
      <c r="B52" t="s">
        <v>199</v>
      </c>
      <c r="C52" t="s">
        <v>189</v>
      </c>
      <c r="D52" t="s">
        <v>190</v>
      </c>
      <c r="F52" t="s">
        <v>583</v>
      </c>
      <c r="G52" t="s">
        <v>583</v>
      </c>
      <c r="I52" t="s">
        <v>522</v>
      </c>
      <c r="K52">
        <v>2</v>
      </c>
      <c r="N52" t="b">
        <v>0</v>
      </c>
    </row>
    <row r="53" spans="1:14">
      <c r="A53">
        <v>34737503</v>
      </c>
      <c r="B53" t="s">
        <v>302</v>
      </c>
      <c r="C53" t="s">
        <v>298</v>
      </c>
      <c r="D53" t="s">
        <v>299</v>
      </c>
      <c r="F53" t="s">
        <v>47</v>
      </c>
      <c r="G53" t="s">
        <v>27</v>
      </c>
      <c r="I53" t="s">
        <v>301</v>
      </c>
      <c r="K53">
        <v>2</v>
      </c>
      <c r="N53" t="b">
        <v>0</v>
      </c>
    </row>
    <row r="54" spans="1:14">
      <c r="A54">
        <v>34769183</v>
      </c>
      <c r="B54" t="s">
        <v>22</v>
      </c>
      <c r="C54" t="s">
        <v>19</v>
      </c>
      <c r="D54" t="s">
        <v>20</v>
      </c>
      <c r="F54" t="s">
        <v>583</v>
      </c>
      <c r="G54" t="s">
        <v>583</v>
      </c>
      <c r="I54" t="s">
        <v>444</v>
      </c>
      <c r="K54">
        <v>1</v>
      </c>
      <c r="N54" t="b">
        <v>0</v>
      </c>
    </row>
    <row r="55" spans="1:14">
      <c r="A55">
        <v>34808935</v>
      </c>
      <c r="B55" t="s">
        <v>113</v>
      </c>
      <c r="C55" t="s">
        <v>109</v>
      </c>
      <c r="D55" t="s">
        <v>110</v>
      </c>
      <c r="F55" t="s">
        <v>32</v>
      </c>
      <c r="G55" t="s">
        <v>27</v>
      </c>
      <c r="I55" t="s">
        <v>112</v>
      </c>
      <c r="K55">
        <v>2</v>
      </c>
      <c r="N55" t="b">
        <v>0</v>
      </c>
    </row>
    <row r="56" spans="1:14">
      <c r="A56">
        <v>35210793</v>
      </c>
      <c r="B56" t="s">
        <v>200</v>
      </c>
      <c r="C56" t="s">
        <v>191</v>
      </c>
      <c r="D56" t="s">
        <v>192</v>
      </c>
      <c r="F56" t="s">
        <v>583</v>
      </c>
      <c r="G56" t="s">
        <v>583</v>
      </c>
      <c r="I56" t="s">
        <v>455</v>
      </c>
      <c r="K56">
        <v>2</v>
      </c>
      <c r="N56" t="b">
        <v>0</v>
      </c>
    </row>
    <row r="57" spans="1:14">
      <c r="A57">
        <v>35244304</v>
      </c>
      <c r="B57" t="s">
        <v>251</v>
      </c>
      <c r="C57" t="s">
        <v>249</v>
      </c>
      <c r="D57" t="s">
        <v>250</v>
      </c>
      <c r="F57" t="s">
        <v>47</v>
      </c>
      <c r="G57" t="s">
        <v>27</v>
      </c>
      <c r="I57" t="s">
        <v>499</v>
      </c>
      <c r="K57">
        <v>2</v>
      </c>
      <c r="N57" t="b">
        <v>0</v>
      </c>
    </row>
    <row r="58" spans="1:14">
      <c r="A58">
        <v>35261984</v>
      </c>
      <c r="B58" t="s">
        <v>231</v>
      </c>
      <c r="C58" t="s">
        <v>139</v>
      </c>
      <c r="D58" t="s">
        <v>207</v>
      </c>
      <c r="F58" t="s">
        <v>51</v>
      </c>
      <c r="G58" t="s">
        <v>27</v>
      </c>
      <c r="I58" t="s">
        <v>230</v>
      </c>
      <c r="K58">
        <v>2</v>
      </c>
      <c r="N58" t="b">
        <v>0</v>
      </c>
    </row>
    <row r="59" spans="1:14">
      <c r="A59">
        <v>35275115</v>
      </c>
      <c r="B59" t="s">
        <v>128</v>
      </c>
      <c r="C59" t="s">
        <v>125</v>
      </c>
      <c r="D59" t="s">
        <v>126</v>
      </c>
      <c r="F59" t="s">
        <v>99</v>
      </c>
      <c r="G59" t="s">
        <v>27</v>
      </c>
      <c r="I59" t="s">
        <v>127</v>
      </c>
      <c r="K59">
        <v>9</v>
      </c>
      <c r="N59" t="b">
        <v>0</v>
      </c>
    </row>
    <row r="60" spans="1:14">
      <c r="A60">
        <v>35275980</v>
      </c>
      <c r="B60" t="s">
        <v>91</v>
      </c>
      <c r="C60" t="s">
        <v>69</v>
      </c>
      <c r="D60" t="s">
        <v>70</v>
      </c>
      <c r="F60" t="s">
        <v>583</v>
      </c>
      <c r="G60" t="s">
        <v>583</v>
      </c>
      <c r="I60" t="s">
        <v>80</v>
      </c>
      <c r="K60">
        <v>2</v>
      </c>
      <c r="N60" t="b">
        <v>0</v>
      </c>
    </row>
    <row r="61" spans="1:14">
      <c r="A61">
        <v>35281151</v>
      </c>
      <c r="B61" t="s">
        <v>340</v>
      </c>
      <c r="C61" t="s">
        <v>314</v>
      </c>
      <c r="D61" t="s">
        <v>446</v>
      </c>
      <c r="F61" t="s">
        <v>138</v>
      </c>
      <c r="G61" t="s">
        <v>27</v>
      </c>
      <c r="I61" t="s">
        <v>415</v>
      </c>
      <c r="K61">
        <v>2</v>
      </c>
      <c r="N61" t="b">
        <v>0</v>
      </c>
    </row>
    <row r="62" spans="1:14">
      <c r="A62">
        <v>35294552</v>
      </c>
      <c r="B62" t="s">
        <v>297</v>
      </c>
      <c r="C62" t="s">
        <v>292</v>
      </c>
      <c r="D62" t="s">
        <v>293</v>
      </c>
      <c r="F62" t="s">
        <v>295</v>
      </c>
      <c r="G62" t="s">
        <v>27</v>
      </c>
      <c r="I62" t="s">
        <v>296</v>
      </c>
      <c r="K62">
        <v>2</v>
      </c>
      <c r="N62" t="b">
        <v>0</v>
      </c>
    </row>
    <row r="63" spans="1:14">
      <c r="A63">
        <v>35768949</v>
      </c>
      <c r="B63" t="s">
        <v>335</v>
      </c>
      <c r="C63" t="s">
        <v>314</v>
      </c>
      <c r="D63" t="s">
        <v>315</v>
      </c>
      <c r="F63" t="s">
        <v>583</v>
      </c>
      <c r="G63" t="s">
        <v>583</v>
      </c>
      <c r="I63" t="s">
        <v>518</v>
      </c>
      <c r="K63">
        <v>3</v>
      </c>
      <c r="N63" t="b">
        <v>1</v>
      </c>
    </row>
    <row r="64" spans="1:14">
      <c r="A64">
        <v>36702536</v>
      </c>
      <c r="B64" t="s">
        <v>29</v>
      </c>
      <c r="C64" t="s">
        <v>23</v>
      </c>
      <c r="D64" t="s">
        <v>24</v>
      </c>
      <c r="F64" t="s">
        <v>26</v>
      </c>
      <c r="G64" t="s">
        <v>27</v>
      </c>
      <c r="I64" t="s">
        <v>28</v>
      </c>
      <c r="K64">
        <v>5</v>
      </c>
      <c r="N64" t="b">
        <v>0</v>
      </c>
    </row>
    <row r="65" spans="1:14">
      <c r="A65">
        <v>36715494</v>
      </c>
      <c r="B65" t="s">
        <v>234</v>
      </c>
      <c r="C65" t="s">
        <v>208</v>
      </c>
      <c r="D65" t="s">
        <v>209</v>
      </c>
      <c r="F65" t="s">
        <v>51</v>
      </c>
      <c r="G65" t="s">
        <v>27</v>
      </c>
      <c r="I65" t="s">
        <v>233</v>
      </c>
      <c r="K65">
        <v>2</v>
      </c>
      <c r="N65" t="b">
        <v>0</v>
      </c>
    </row>
    <row r="66" spans="1:14">
      <c r="A66">
        <v>36779497</v>
      </c>
      <c r="B66" t="s">
        <v>89</v>
      </c>
      <c r="C66" t="s">
        <v>65</v>
      </c>
      <c r="D66" t="s">
        <v>66</v>
      </c>
      <c r="F66" t="s">
        <v>101</v>
      </c>
      <c r="G66" t="s">
        <v>102</v>
      </c>
      <c r="I66" t="s">
        <v>78</v>
      </c>
      <c r="K66">
        <v>2</v>
      </c>
      <c r="N66" t="b">
        <v>0</v>
      </c>
    </row>
    <row r="67" spans="1:14">
      <c r="A67">
        <v>36792262</v>
      </c>
      <c r="B67" t="s">
        <v>341</v>
      </c>
      <c r="C67" t="s">
        <v>323</v>
      </c>
      <c r="D67" t="s">
        <v>324</v>
      </c>
      <c r="F67" t="s">
        <v>138</v>
      </c>
      <c r="G67" t="s">
        <v>27</v>
      </c>
      <c r="I67" t="s">
        <v>453</v>
      </c>
      <c r="K67">
        <v>2</v>
      </c>
      <c r="N67" t="b">
        <v>0</v>
      </c>
    </row>
    <row r="68" spans="1:14">
      <c r="A68">
        <v>36811113</v>
      </c>
      <c r="B68" t="s">
        <v>223</v>
      </c>
      <c r="C68" t="s">
        <v>211</v>
      </c>
      <c r="D68" t="s">
        <v>212</v>
      </c>
      <c r="F68" t="s">
        <v>221</v>
      </c>
      <c r="G68" t="s">
        <v>27</v>
      </c>
      <c r="I68" t="s">
        <v>222</v>
      </c>
      <c r="K68">
        <v>2</v>
      </c>
      <c r="N68" t="b">
        <v>0</v>
      </c>
    </row>
    <row r="69" spans="1:14">
      <c r="A69">
        <v>36829985</v>
      </c>
      <c r="B69" t="s">
        <v>409</v>
      </c>
      <c r="C69" t="s">
        <v>381</v>
      </c>
      <c r="D69" t="s">
        <v>382</v>
      </c>
      <c r="F69" t="s">
        <v>221</v>
      </c>
      <c r="G69" t="s">
        <v>27</v>
      </c>
      <c r="I69" t="s">
        <v>400</v>
      </c>
      <c r="K69">
        <v>1</v>
      </c>
      <c r="N69" t="b">
        <v>0</v>
      </c>
    </row>
    <row r="70" spans="1:14">
      <c r="A70">
        <v>37290782</v>
      </c>
      <c r="B70" t="s">
        <v>182</v>
      </c>
      <c r="C70" t="s">
        <v>180</v>
      </c>
      <c r="D70" t="s">
        <v>181</v>
      </c>
      <c r="F70" t="s">
        <v>583</v>
      </c>
      <c r="G70" t="s">
        <v>583</v>
      </c>
      <c r="I70" t="s">
        <v>545</v>
      </c>
      <c r="K70">
        <v>2</v>
      </c>
      <c r="N70" t="b">
        <v>0</v>
      </c>
    </row>
    <row r="71" spans="1:14">
      <c r="A71">
        <v>37726952</v>
      </c>
      <c r="B71" t="s">
        <v>389</v>
      </c>
      <c r="C71" t="s">
        <v>114</v>
      </c>
      <c r="D71" t="s">
        <v>380</v>
      </c>
      <c r="F71" t="s">
        <v>583</v>
      </c>
      <c r="G71" t="s">
        <v>583</v>
      </c>
      <c r="I71" t="s">
        <v>394</v>
      </c>
      <c r="K71">
        <v>2</v>
      </c>
      <c r="N71" t="b">
        <v>1</v>
      </c>
    </row>
    <row r="72" spans="1:14">
      <c r="A72">
        <v>37777504</v>
      </c>
      <c r="B72" t="s">
        <v>338</v>
      </c>
      <c r="C72" t="s">
        <v>319</v>
      </c>
      <c r="D72" t="s">
        <v>320</v>
      </c>
      <c r="F72" t="s">
        <v>51</v>
      </c>
      <c r="G72" t="s">
        <v>27</v>
      </c>
      <c r="I72" t="s">
        <v>546</v>
      </c>
      <c r="K72">
        <v>2</v>
      </c>
      <c r="N72" t="b">
        <v>0</v>
      </c>
    </row>
    <row r="73" spans="1:14">
      <c r="A73">
        <v>37815752</v>
      </c>
      <c r="B73" t="s">
        <v>345</v>
      </c>
      <c r="C73" t="s">
        <v>114</v>
      </c>
      <c r="D73" t="s">
        <v>330</v>
      </c>
      <c r="F73" t="s">
        <v>363</v>
      </c>
      <c r="G73" t="s">
        <v>27</v>
      </c>
      <c r="I73" t="s">
        <v>364</v>
      </c>
      <c r="K73">
        <v>2</v>
      </c>
      <c r="N73" t="b">
        <v>0</v>
      </c>
    </row>
    <row r="74" spans="1:14">
      <c r="A74">
        <v>37816949</v>
      </c>
      <c r="B74" t="s">
        <v>310</v>
      </c>
      <c r="C74" t="s">
        <v>193</v>
      </c>
      <c r="D74" t="s">
        <v>194</v>
      </c>
      <c r="F74" t="s">
        <v>583</v>
      </c>
      <c r="G74" t="s">
        <v>583</v>
      </c>
      <c r="I74" t="s">
        <v>451</v>
      </c>
      <c r="K74">
        <v>2</v>
      </c>
      <c r="N74" t="b">
        <v>0</v>
      </c>
    </row>
    <row r="75" spans="1:14">
      <c r="A75">
        <v>37834786</v>
      </c>
      <c r="B75" t="s">
        <v>383</v>
      </c>
      <c r="C75" t="s">
        <v>369</v>
      </c>
      <c r="D75" t="s">
        <v>370</v>
      </c>
      <c r="F75" t="s">
        <v>32</v>
      </c>
      <c r="G75" t="s">
        <v>27</v>
      </c>
      <c r="I75" t="s">
        <v>393</v>
      </c>
      <c r="K75">
        <v>2</v>
      </c>
      <c r="N75" t="b">
        <v>0</v>
      </c>
    </row>
    <row r="76" spans="1:14">
      <c r="A76">
        <v>37841836</v>
      </c>
      <c r="B76" t="s">
        <v>346</v>
      </c>
      <c r="C76" t="s">
        <v>331</v>
      </c>
      <c r="D76" t="s">
        <v>332</v>
      </c>
      <c r="F76" t="s">
        <v>32</v>
      </c>
      <c r="G76" t="s">
        <v>27</v>
      </c>
      <c r="I76" t="s">
        <v>366</v>
      </c>
      <c r="K76">
        <v>2</v>
      </c>
      <c r="N76" t="b">
        <v>1</v>
      </c>
    </row>
    <row r="77" spans="1:14">
      <c r="A77">
        <v>37847586</v>
      </c>
      <c r="B77" t="s">
        <v>85</v>
      </c>
      <c r="C77" t="s">
        <v>57</v>
      </c>
      <c r="D77" t="s">
        <v>58</v>
      </c>
      <c r="F77" t="s">
        <v>100</v>
      </c>
      <c r="G77" t="s">
        <v>27</v>
      </c>
      <c r="I77" t="s">
        <v>76</v>
      </c>
      <c r="K77">
        <v>2</v>
      </c>
      <c r="N77" t="b">
        <v>0</v>
      </c>
    </row>
    <row r="78" spans="1:14">
      <c r="A78">
        <v>38329497</v>
      </c>
      <c r="B78" t="s">
        <v>92</v>
      </c>
      <c r="C78" t="s">
        <v>72</v>
      </c>
      <c r="D78" t="s">
        <v>73</v>
      </c>
      <c r="F78" t="s">
        <v>100</v>
      </c>
      <c r="G78" t="s">
        <v>27</v>
      </c>
      <c r="I78" t="s">
        <v>96</v>
      </c>
      <c r="K78">
        <v>2</v>
      </c>
      <c r="N78" t="b">
        <v>0</v>
      </c>
    </row>
    <row r="79" spans="1:14">
      <c r="A79">
        <v>38777112</v>
      </c>
      <c r="B79" t="s">
        <v>38</v>
      </c>
      <c r="C79" t="s">
        <v>33</v>
      </c>
      <c r="D79" t="s">
        <v>34</v>
      </c>
      <c r="F79" t="s">
        <v>36</v>
      </c>
      <c r="G79" t="s">
        <v>27</v>
      </c>
      <c r="I79" t="s">
        <v>37</v>
      </c>
      <c r="K79">
        <v>2</v>
      </c>
      <c r="N79" t="b">
        <v>0</v>
      </c>
    </row>
    <row r="80" spans="1:14">
      <c r="A80">
        <v>38833183</v>
      </c>
      <c r="B80" t="s">
        <v>93</v>
      </c>
      <c r="C80" t="s">
        <v>74</v>
      </c>
      <c r="D80" t="s">
        <v>75</v>
      </c>
      <c r="F80" t="s">
        <v>32</v>
      </c>
      <c r="G80" t="s">
        <v>27</v>
      </c>
      <c r="I80" t="s">
        <v>82</v>
      </c>
      <c r="K80">
        <v>3</v>
      </c>
      <c r="N80" t="b">
        <v>0</v>
      </c>
    </row>
    <row r="81" spans="1:14">
      <c r="A81">
        <v>39288456</v>
      </c>
      <c r="B81" t="s">
        <v>146</v>
      </c>
      <c r="C81" t="s">
        <v>61</v>
      </c>
      <c r="D81" t="s">
        <v>131</v>
      </c>
      <c r="F81" t="s">
        <v>132</v>
      </c>
      <c r="G81" t="s">
        <v>27</v>
      </c>
      <c r="I81" t="s">
        <v>147</v>
      </c>
      <c r="K81">
        <v>1</v>
      </c>
      <c r="N81" t="b">
        <v>0</v>
      </c>
    </row>
    <row r="82" spans="1:14">
      <c r="A82">
        <v>39800422</v>
      </c>
      <c r="B82" t="s">
        <v>339</v>
      </c>
      <c r="C82" t="s">
        <v>321</v>
      </c>
      <c r="D82" t="s">
        <v>322</v>
      </c>
      <c r="F82" t="s">
        <v>138</v>
      </c>
      <c r="G82" t="s">
        <v>27</v>
      </c>
      <c r="I82" t="s">
        <v>354</v>
      </c>
      <c r="K82">
        <v>2</v>
      </c>
      <c r="N82" t="b">
        <v>0</v>
      </c>
    </row>
    <row r="83" spans="1:14">
      <c r="A83">
        <v>39800454</v>
      </c>
      <c r="B83" t="s">
        <v>388</v>
      </c>
      <c r="C83" t="s">
        <v>321</v>
      </c>
      <c r="D83" t="s">
        <v>379</v>
      </c>
      <c r="F83" t="s">
        <v>32</v>
      </c>
      <c r="G83" t="s">
        <v>27</v>
      </c>
      <c r="I83" t="s">
        <v>399</v>
      </c>
      <c r="K83">
        <v>2</v>
      </c>
      <c r="N83" t="b">
        <v>0</v>
      </c>
    </row>
    <row r="84" spans="1:14">
      <c r="A84">
        <v>40395911</v>
      </c>
      <c r="B84" t="s">
        <v>386</v>
      </c>
      <c r="C84" t="s">
        <v>375</v>
      </c>
      <c r="D84" t="s">
        <v>376</v>
      </c>
      <c r="F84" t="s">
        <v>36</v>
      </c>
      <c r="G84" t="s">
        <v>27</v>
      </c>
      <c r="I84" t="s">
        <v>397</v>
      </c>
      <c r="K84">
        <v>2</v>
      </c>
      <c r="N84" t="b">
        <v>0</v>
      </c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91"/>
  <sheetViews>
    <sheetView workbookViewId="0">
      <selection activeCell="G6" sqref="G6"/>
    </sheetView>
  </sheetViews>
  <sheetFormatPr defaultColWidth="11.19921875" defaultRowHeight="11.5"/>
  <cols>
    <col min="6" max="7" width="11.19921875" style="88"/>
  </cols>
  <sheetData>
    <row r="1" spans="1:16">
      <c r="A1" t="s">
        <v>566</v>
      </c>
      <c r="B1" t="s">
        <v>567</v>
      </c>
      <c r="C1" t="s">
        <v>568</v>
      </c>
      <c r="D1" t="s">
        <v>569</v>
      </c>
      <c r="E1" t="s">
        <v>570</v>
      </c>
      <c r="F1" s="88" t="s">
        <v>555</v>
      </c>
      <c r="G1" s="88" t="s">
        <v>556</v>
      </c>
      <c r="H1" t="s">
        <v>557</v>
      </c>
      <c r="I1" t="s">
        <v>558</v>
      </c>
      <c r="J1" t="s">
        <v>559</v>
      </c>
      <c r="K1" t="s">
        <v>560</v>
      </c>
      <c r="L1" t="s">
        <v>561</v>
      </c>
      <c r="M1" t="s">
        <v>562</v>
      </c>
      <c r="N1" t="s">
        <v>563</v>
      </c>
      <c r="O1" t="s">
        <v>564</v>
      </c>
      <c r="P1" t="s">
        <v>565</v>
      </c>
    </row>
    <row r="2" spans="1:16">
      <c r="A2">
        <v>1962792</v>
      </c>
      <c r="B2" t="b">
        <v>1</v>
      </c>
      <c r="C2" t="b">
        <v>1</v>
      </c>
      <c r="D2" t="b">
        <v>1</v>
      </c>
      <c r="E2" t="b">
        <v>1</v>
      </c>
      <c r="F2" s="88" t="s">
        <v>586</v>
      </c>
      <c r="G2" s="88" t="s">
        <v>587</v>
      </c>
      <c r="H2">
        <v>1</v>
      </c>
      <c r="I2">
        <v>9</v>
      </c>
      <c r="J2">
        <v>9</v>
      </c>
      <c r="N2" s="87"/>
      <c r="O2" s="87"/>
    </row>
    <row r="3" spans="1:16">
      <c r="A3">
        <v>1969495</v>
      </c>
      <c r="B3" t="b">
        <v>0</v>
      </c>
      <c r="C3" t="b">
        <v>0</v>
      </c>
      <c r="D3" t="b">
        <v>1</v>
      </c>
      <c r="E3" t="b">
        <v>0</v>
      </c>
      <c r="F3" s="88" t="s">
        <v>588</v>
      </c>
      <c r="G3" s="88" t="s">
        <v>589</v>
      </c>
      <c r="H3">
        <v>3</v>
      </c>
      <c r="I3">
        <v>6</v>
      </c>
      <c r="J3">
        <v>6</v>
      </c>
      <c r="N3" s="87"/>
      <c r="O3" s="87"/>
    </row>
    <row r="4" spans="1:16">
      <c r="A4">
        <v>1975905</v>
      </c>
      <c r="B4" t="b">
        <v>1</v>
      </c>
      <c r="C4" t="b">
        <v>0</v>
      </c>
      <c r="D4" t="b">
        <v>0</v>
      </c>
      <c r="E4" t="b">
        <v>0</v>
      </c>
      <c r="F4" s="88" t="s">
        <v>590</v>
      </c>
      <c r="G4" s="88" t="s">
        <v>591</v>
      </c>
      <c r="H4">
        <v>1</v>
      </c>
      <c r="I4">
        <v>12</v>
      </c>
      <c r="J4">
        <v>12</v>
      </c>
      <c r="N4" s="87"/>
      <c r="O4" s="87"/>
    </row>
    <row r="5" spans="1:16">
      <c r="A5">
        <v>1975905</v>
      </c>
      <c r="B5" t="b">
        <v>0</v>
      </c>
      <c r="C5" t="b">
        <v>1</v>
      </c>
      <c r="D5" t="b">
        <v>0</v>
      </c>
      <c r="E5" t="b">
        <v>0</v>
      </c>
      <c r="F5" s="88" t="s">
        <v>591</v>
      </c>
      <c r="G5" s="88" t="s">
        <v>592</v>
      </c>
      <c r="H5">
        <v>1</v>
      </c>
      <c r="I5">
        <v>15</v>
      </c>
      <c r="J5">
        <v>15</v>
      </c>
      <c r="N5" s="87"/>
      <c r="O5" s="87"/>
    </row>
    <row r="6" spans="1:16">
      <c r="A6">
        <v>2009181</v>
      </c>
      <c r="B6" t="b">
        <v>0</v>
      </c>
      <c r="C6" t="b">
        <v>0</v>
      </c>
      <c r="D6" t="b">
        <v>1</v>
      </c>
      <c r="E6" t="b">
        <v>0</v>
      </c>
      <c r="F6" s="88" t="s">
        <v>593</v>
      </c>
      <c r="G6" s="88" t="s">
        <v>594</v>
      </c>
      <c r="H6">
        <v>1</v>
      </c>
      <c r="I6">
        <v>15</v>
      </c>
      <c r="J6">
        <v>15</v>
      </c>
      <c r="N6" s="87"/>
      <c r="O6" s="87"/>
    </row>
    <row r="7" spans="1:16">
      <c r="A7">
        <v>3147593</v>
      </c>
      <c r="B7" t="b">
        <v>0</v>
      </c>
      <c r="C7" t="b">
        <v>0</v>
      </c>
      <c r="D7" t="b">
        <v>0</v>
      </c>
      <c r="E7" t="b">
        <v>1</v>
      </c>
      <c r="F7" s="88" t="s">
        <v>595</v>
      </c>
      <c r="G7" s="88" t="s">
        <v>596</v>
      </c>
      <c r="H7">
        <v>4</v>
      </c>
      <c r="I7">
        <v>15</v>
      </c>
      <c r="J7">
        <v>15</v>
      </c>
      <c r="N7" s="87"/>
      <c r="O7" s="87"/>
    </row>
    <row r="8" spans="1:16">
      <c r="A8">
        <v>3486858</v>
      </c>
      <c r="B8" t="b">
        <v>1</v>
      </c>
      <c r="C8" t="b">
        <v>0</v>
      </c>
      <c r="D8" t="b">
        <v>0</v>
      </c>
      <c r="E8" t="b">
        <v>0</v>
      </c>
      <c r="F8" s="88" t="s">
        <v>597</v>
      </c>
      <c r="G8" s="88" t="s">
        <v>589</v>
      </c>
      <c r="H8">
        <v>1</v>
      </c>
      <c r="I8">
        <v>12</v>
      </c>
      <c r="J8">
        <v>8</v>
      </c>
      <c r="N8" s="87"/>
      <c r="O8" s="87"/>
    </row>
    <row r="9" spans="1:16">
      <c r="A9">
        <v>7212312</v>
      </c>
      <c r="B9" t="b">
        <v>0</v>
      </c>
      <c r="C9" t="b">
        <v>0</v>
      </c>
      <c r="D9" t="b">
        <v>1</v>
      </c>
      <c r="E9" t="b">
        <v>0</v>
      </c>
      <c r="F9" s="88" t="s">
        <v>588</v>
      </c>
      <c r="G9" s="88" t="s">
        <v>589</v>
      </c>
      <c r="H9">
        <v>1</v>
      </c>
      <c r="I9">
        <v>6</v>
      </c>
      <c r="J9">
        <v>6</v>
      </c>
      <c r="N9" s="87"/>
      <c r="O9" s="87"/>
    </row>
    <row r="10" spans="1:16">
      <c r="A10">
        <v>27044381</v>
      </c>
      <c r="B10" t="b">
        <v>0</v>
      </c>
      <c r="C10" t="b">
        <v>1</v>
      </c>
      <c r="D10" t="b">
        <v>0</v>
      </c>
      <c r="E10" t="b">
        <v>0</v>
      </c>
      <c r="F10" s="88" t="s">
        <v>598</v>
      </c>
      <c r="G10" s="88" t="s">
        <v>599</v>
      </c>
      <c r="H10">
        <v>1</v>
      </c>
      <c r="I10">
        <v>15</v>
      </c>
      <c r="J10">
        <v>15</v>
      </c>
      <c r="N10" s="87"/>
      <c r="O10" s="87"/>
    </row>
    <row r="11" spans="1:16">
      <c r="A11">
        <v>28075512</v>
      </c>
      <c r="B11" t="b">
        <v>0</v>
      </c>
      <c r="C11" t="b">
        <v>1</v>
      </c>
      <c r="D11" t="b">
        <v>0</v>
      </c>
      <c r="E11" t="b">
        <v>0</v>
      </c>
      <c r="F11" s="88" t="s">
        <v>600</v>
      </c>
      <c r="G11" s="88" t="s">
        <v>601</v>
      </c>
      <c r="H11">
        <v>1</v>
      </c>
      <c r="I11">
        <v>6</v>
      </c>
      <c r="J11">
        <v>4</v>
      </c>
      <c r="N11" s="87"/>
      <c r="O11" s="87"/>
    </row>
    <row r="12" spans="1:16">
      <c r="A12">
        <v>28075894</v>
      </c>
      <c r="B12" t="b">
        <v>1</v>
      </c>
      <c r="C12" t="b">
        <v>0</v>
      </c>
      <c r="D12" t="b">
        <v>0</v>
      </c>
      <c r="E12" t="b">
        <v>0</v>
      </c>
      <c r="F12" s="88" t="s">
        <v>591</v>
      </c>
      <c r="G12" s="88" t="s">
        <v>592</v>
      </c>
      <c r="H12">
        <v>2</v>
      </c>
      <c r="I12">
        <v>7</v>
      </c>
      <c r="J12">
        <v>4</v>
      </c>
      <c r="N12" s="87"/>
      <c r="O12" s="87"/>
    </row>
    <row r="13" spans="1:16">
      <c r="A13">
        <v>28090137</v>
      </c>
      <c r="B13" t="b">
        <v>0</v>
      </c>
      <c r="C13" t="b">
        <v>1</v>
      </c>
      <c r="D13" t="b">
        <v>0</v>
      </c>
      <c r="E13" t="b">
        <v>0</v>
      </c>
      <c r="F13" s="88" t="s">
        <v>592</v>
      </c>
      <c r="G13" s="88" t="s">
        <v>602</v>
      </c>
      <c r="H13">
        <v>1</v>
      </c>
      <c r="I13">
        <v>10</v>
      </c>
      <c r="J13">
        <v>6</v>
      </c>
      <c r="N13" s="87"/>
      <c r="O13" s="87"/>
    </row>
    <row r="14" spans="1:16">
      <c r="A14">
        <v>28106784</v>
      </c>
      <c r="B14" t="b">
        <v>0</v>
      </c>
      <c r="C14" t="b">
        <v>0</v>
      </c>
      <c r="D14" t="b">
        <v>1</v>
      </c>
      <c r="E14" t="b">
        <v>0</v>
      </c>
      <c r="F14" s="88" t="s">
        <v>603</v>
      </c>
      <c r="G14" s="88" t="s">
        <v>604</v>
      </c>
      <c r="H14">
        <v>1</v>
      </c>
      <c r="I14">
        <v>15</v>
      </c>
      <c r="J14">
        <v>15</v>
      </c>
      <c r="N14" s="87"/>
      <c r="O14" s="87"/>
    </row>
    <row r="15" spans="1:16">
      <c r="A15">
        <v>28107425</v>
      </c>
      <c r="B15" t="b">
        <v>0</v>
      </c>
      <c r="C15" t="b">
        <v>0</v>
      </c>
      <c r="D15" t="b">
        <v>1</v>
      </c>
      <c r="E15" t="b">
        <v>0</v>
      </c>
      <c r="F15" s="88" t="s">
        <v>605</v>
      </c>
      <c r="G15" s="88" t="s">
        <v>606</v>
      </c>
      <c r="H15">
        <v>1</v>
      </c>
      <c r="I15">
        <v>15</v>
      </c>
      <c r="J15">
        <v>15</v>
      </c>
      <c r="N15" s="87"/>
      <c r="O15" s="87"/>
    </row>
    <row r="16" spans="1:16">
      <c r="A16">
        <v>28107495</v>
      </c>
      <c r="B16" t="b">
        <v>0</v>
      </c>
      <c r="C16" t="b">
        <v>0</v>
      </c>
      <c r="D16" t="b">
        <v>1</v>
      </c>
      <c r="E16" t="b">
        <v>0</v>
      </c>
      <c r="F16" s="88" t="s">
        <v>607</v>
      </c>
      <c r="G16" s="88" t="s">
        <v>608</v>
      </c>
      <c r="H16">
        <v>9</v>
      </c>
      <c r="I16">
        <v>15</v>
      </c>
      <c r="J16">
        <v>15</v>
      </c>
      <c r="N16" s="87"/>
      <c r="O16" s="87"/>
    </row>
    <row r="17" spans="1:15">
      <c r="A17">
        <v>28120707</v>
      </c>
      <c r="B17" t="b">
        <v>0</v>
      </c>
      <c r="C17" t="b">
        <v>1</v>
      </c>
      <c r="D17" t="b">
        <v>0</v>
      </c>
      <c r="E17" t="b">
        <v>0</v>
      </c>
      <c r="F17" s="88" t="s">
        <v>609</v>
      </c>
      <c r="G17" s="88" t="s">
        <v>610</v>
      </c>
      <c r="H17">
        <v>3</v>
      </c>
      <c r="I17">
        <v>7</v>
      </c>
      <c r="J17">
        <v>4</v>
      </c>
      <c r="N17" s="87"/>
      <c r="O17" s="87"/>
    </row>
    <row r="18" spans="1:15">
      <c r="A18">
        <v>28664534</v>
      </c>
      <c r="B18" t="b">
        <v>0</v>
      </c>
      <c r="C18" t="b">
        <v>1</v>
      </c>
      <c r="D18" t="b">
        <v>0</v>
      </c>
      <c r="E18" t="b">
        <v>0</v>
      </c>
      <c r="F18" s="88" t="s">
        <v>611</v>
      </c>
      <c r="G18" s="88" t="s">
        <v>612</v>
      </c>
      <c r="H18">
        <v>1</v>
      </c>
      <c r="I18">
        <v>15</v>
      </c>
      <c r="J18">
        <v>15</v>
      </c>
      <c r="N18" s="87"/>
      <c r="O18" s="87"/>
    </row>
    <row r="19" spans="1:15">
      <c r="A19">
        <v>29023353</v>
      </c>
      <c r="B19" t="b">
        <v>1</v>
      </c>
      <c r="C19" t="b">
        <v>1</v>
      </c>
      <c r="D19" t="b">
        <v>1</v>
      </c>
      <c r="E19" t="b">
        <v>1</v>
      </c>
      <c r="F19" s="88" t="s">
        <v>606</v>
      </c>
      <c r="G19" s="88" t="s">
        <v>613</v>
      </c>
      <c r="H19">
        <v>1</v>
      </c>
      <c r="I19">
        <v>8</v>
      </c>
      <c r="J19">
        <v>4</v>
      </c>
      <c r="N19" s="87"/>
      <c r="O19" s="87"/>
    </row>
    <row r="20" spans="1:15">
      <c r="A20">
        <v>29023353</v>
      </c>
      <c r="B20" t="b">
        <v>0</v>
      </c>
      <c r="C20" t="b">
        <v>1</v>
      </c>
      <c r="D20" t="b">
        <v>0</v>
      </c>
      <c r="E20" t="b">
        <v>0</v>
      </c>
      <c r="F20" s="88" t="s">
        <v>614</v>
      </c>
      <c r="G20" s="88" t="s">
        <v>615</v>
      </c>
      <c r="H20">
        <v>5</v>
      </c>
      <c r="I20">
        <v>9</v>
      </c>
      <c r="J20">
        <v>9</v>
      </c>
      <c r="N20" s="87"/>
      <c r="O20" s="87"/>
    </row>
    <row r="21" spans="1:15">
      <c r="A21">
        <v>29047823</v>
      </c>
      <c r="B21" t="b">
        <v>0</v>
      </c>
      <c r="C21" t="b">
        <v>0</v>
      </c>
      <c r="D21" t="b">
        <v>1</v>
      </c>
      <c r="E21" t="b">
        <v>0</v>
      </c>
      <c r="F21" s="88" t="s">
        <v>616</v>
      </c>
      <c r="G21" s="88" t="s">
        <v>617</v>
      </c>
      <c r="H21">
        <v>1</v>
      </c>
      <c r="I21">
        <v>15</v>
      </c>
      <c r="J21">
        <v>15</v>
      </c>
      <c r="N21" s="87"/>
      <c r="O21" s="87"/>
    </row>
    <row r="22" spans="1:15">
      <c r="A22">
        <v>29098784</v>
      </c>
      <c r="B22" t="b">
        <v>0</v>
      </c>
      <c r="C22" t="b">
        <v>1</v>
      </c>
      <c r="D22" t="b">
        <v>0</v>
      </c>
      <c r="E22" t="b">
        <v>0</v>
      </c>
      <c r="F22" s="88" t="s">
        <v>601</v>
      </c>
      <c r="G22" s="88" t="s">
        <v>618</v>
      </c>
      <c r="H22">
        <v>2</v>
      </c>
      <c r="I22">
        <v>4</v>
      </c>
      <c r="J22">
        <v>4</v>
      </c>
      <c r="N22" s="87"/>
      <c r="O22" s="87"/>
    </row>
    <row r="23" spans="1:15">
      <c r="A23">
        <v>29099095</v>
      </c>
      <c r="B23" t="b">
        <v>1</v>
      </c>
      <c r="C23" t="b">
        <v>0</v>
      </c>
      <c r="D23" t="b">
        <v>0</v>
      </c>
      <c r="E23" t="b">
        <v>0</v>
      </c>
      <c r="F23" s="88" t="s">
        <v>587</v>
      </c>
      <c r="G23" s="88" t="s">
        <v>619</v>
      </c>
      <c r="H23">
        <v>1</v>
      </c>
      <c r="I23">
        <v>4</v>
      </c>
      <c r="J23">
        <v>4</v>
      </c>
      <c r="N23" s="87"/>
      <c r="O23" s="87"/>
    </row>
    <row r="24" spans="1:15">
      <c r="A24">
        <v>29144226</v>
      </c>
      <c r="B24" t="b">
        <v>0</v>
      </c>
      <c r="C24" t="b">
        <v>1</v>
      </c>
      <c r="D24" t="b">
        <v>0</v>
      </c>
      <c r="E24" t="b">
        <v>0</v>
      </c>
      <c r="F24" s="88" t="s">
        <v>620</v>
      </c>
      <c r="G24" s="88" t="s">
        <v>621</v>
      </c>
      <c r="H24">
        <v>1</v>
      </c>
      <c r="I24">
        <v>4</v>
      </c>
      <c r="J24">
        <v>4</v>
      </c>
      <c r="N24" s="87"/>
      <c r="O24" s="87"/>
    </row>
    <row r="25" spans="1:15">
      <c r="A25">
        <v>29176534</v>
      </c>
      <c r="B25" t="b">
        <v>1</v>
      </c>
      <c r="C25" t="b">
        <v>0</v>
      </c>
      <c r="D25" t="b">
        <v>0</v>
      </c>
      <c r="E25" t="b">
        <v>0</v>
      </c>
      <c r="F25" s="88" t="s">
        <v>622</v>
      </c>
      <c r="G25" s="88" t="s">
        <v>610</v>
      </c>
      <c r="H25">
        <v>4</v>
      </c>
      <c r="I25">
        <v>7</v>
      </c>
      <c r="J25">
        <v>4</v>
      </c>
      <c r="N25" s="87"/>
      <c r="O25" s="87"/>
    </row>
    <row r="26" spans="1:15">
      <c r="A26">
        <v>29618303</v>
      </c>
      <c r="B26" t="b">
        <v>1</v>
      </c>
      <c r="C26" t="b">
        <v>0</v>
      </c>
      <c r="D26" t="b">
        <v>0</v>
      </c>
      <c r="E26" t="b">
        <v>0</v>
      </c>
      <c r="F26" s="88" t="s">
        <v>623</v>
      </c>
      <c r="G26" s="88" t="s">
        <v>624</v>
      </c>
      <c r="H26">
        <v>2</v>
      </c>
      <c r="I26">
        <v>8</v>
      </c>
      <c r="J26">
        <v>8</v>
      </c>
      <c r="N26" s="87"/>
      <c r="O26" s="87"/>
    </row>
    <row r="27" spans="1:15">
      <c r="A27">
        <v>30097345</v>
      </c>
      <c r="B27" t="b">
        <v>0</v>
      </c>
      <c r="C27" t="b">
        <v>0</v>
      </c>
      <c r="D27" t="b">
        <v>1</v>
      </c>
      <c r="E27" t="b">
        <v>0</v>
      </c>
      <c r="F27" s="88" t="s">
        <v>623</v>
      </c>
      <c r="G27" s="88" t="s">
        <v>624</v>
      </c>
      <c r="H27">
        <v>3</v>
      </c>
      <c r="I27">
        <v>15</v>
      </c>
      <c r="J27">
        <v>15</v>
      </c>
      <c r="N27" s="87"/>
      <c r="O27" s="87"/>
    </row>
    <row r="28" spans="1:15">
      <c r="A28">
        <v>30109983</v>
      </c>
      <c r="B28" t="b">
        <v>0</v>
      </c>
      <c r="C28" t="b">
        <v>0</v>
      </c>
      <c r="D28" t="b">
        <v>1</v>
      </c>
      <c r="E28" t="b">
        <v>0</v>
      </c>
      <c r="F28" s="88" t="s">
        <v>625</v>
      </c>
      <c r="G28" s="88" t="s">
        <v>587</v>
      </c>
      <c r="H28">
        <v>1</v>
      </c>
      <c r="I28">
        <v>15</v>
      </c>
      <c r="J28">
        <v>15</v>
      </c>
      <c r="N28" s="87"/>
      <c r="O28" s="87"/>
    </row>
    <row r="29" spans="1:15">
      <c r="A29">
        <v>30111101</v>
      </c>
      <c r="B29" t="b">
        <v>1</v>
      </c>
      <c r="C29" t="b">
        <v>0</v>
      </c>
      <c r="D29" t="b">
        <v>0</v>
      </c>
      <c r="E29" t="b">
        <v>0</v>
      </c>
      <c r="F29" s="88" t="s">
        <v>603</v>
      </c>
      <c r="G29" s="88" t="s">
        <v>621</v>
      </c>
      <c r="H29">
        <v>1</v>
      </c>
      <c r="I29">
        <v>5</v>
      </c>
      <c r="J29">
        <v>5</v>
      </c>
      <c r="N29" s="87"/>
      <c r="O29" s="87"/>
    </row>
    <row r="30" spans="1:15">
      <c r="A30">
        <v>30111101</v>
      </c>
      <c r="B30" t="b">
        <v>0</v>
      </c>
      <c r="C30" t="b">
        <v>1</v>
      </c>
      <c r="D30" t="b">
        <v>0</v>
      </c>
      <c r="E30" t="b">
        <v>0</v>
      </c>
      <c r="F30" s="88" t="s">
        <v>621</v>
      </c>
      <c r="G30" s="88" t="s">
        <v>604</v>
      </c>
      <c r="H30">
        <v>1</v>
      </c>
      <c r="I30">
        <v>5</v>
      </c>
      <c r="J30">
        <v>5</v>
      </c>
      <c r="N30" s="87"/>
      <c r="O30" s="87"/>
    </row>
    <row r="31" spans="1:15">
      <c r="A31">
        <v>30111585</v>
      </c>
      <c r="B31" t="b">
        <v>0</v>
      </c>
      <c r="C31" t="b">
        <v>0</v>
      </c>
      <c r="D31" t="b">
        <v>1</v>
      </c>
      <c r="E31" t="b">
        <v>0</v>
      </c>
      <c r="F31" s="88" t="s">
        <v>622</v>
      </c>
      <c r="G31" s="88" t="s">
        <v>610</v>
      </c>
      <c r="H31">
        <v>2</v>
      </c>
      <c r="I31">
        <v>4</v>
      </c>
      <c r="J31">
        <v>4</v>
      </c>
      <c r="N31" s="87"/>
      <c r="O31" s="87"/>
    </row>
    <row r="32" spans="1:15">
      <c r="A32">
        <v>30118313</v>
      </c>
      <c r="B32" t="b">
        <v>1</v>
      </c>
      <c r="C32" t="b">
        <v>0</v>
      </c>
      <c r="D32" t="b">
        <v>0</v>
      </c>
      <c r="E32" t="b">
        <v>0</v>
      </c>
      <c r="F32" s="88" t="s">
        <v>603</v>
      </c>
      <c r="G32" s="88" t="s">
        <v>621</v>
      </c>
      <c r="H32">
        <v>1</v>
      </c>
      <c r="I32">
        <v>7</v>
      </c>
      <c r="J32">
        <v>7</v>
      </c>
      <c r="N32" s="87"/>
      <c r="O32" s="87"/>
    </row>
    <row r="33" spans="1:15">
      <c r="A33">
        <v>30129177</v>
      </c>
      <c r="B33" t="b">
        <v>0</v>
      </c>
      <c r="C33" t="b">
        <v>0</v>
      </c>
      <c r="D33" t="b">
        <v>1</v>
      </c>
      <c r="E33" t="b">
        <v>0</v>
      </c>
      <c r="F33" s="88" t="s">
        <v>626</v>
      </c>
      <c r="G33" s="88" t="s">
        <v>627</v>
      </c>
      <c r="H33">
        <v>1</v>
      </c>
      <c r="I33">
        <v>15</v>
      </c>
      <c r="J33">
        <v>11</v>
      </c>
      <c r="N33" s="87"/>
      <c r="O33" s="87"/>
    </row>
    <row r="34" spans="1:15">
      <c r="A34">
        <v>31583107</v>
      </c>
      <c r="B34" t="b">
        <v>0</v>
      </c>
      <c r="C34" t="b">
        <v>1</v>
      </c>
      <c r="D34" t="b">
        <v>0</v>
      </c>
      <c r="E34" t="b">
        <v>0</v>
      </c>
      <c r="F34" s="88" t="s">
        <v>596</v>
      </c>
      <c r="G34" s="88" t="s">
        <v>611</v>
      </c>
      <c r="H34">
        <v>1</v>
      </c>
      <c r="I34">
        <v>5</v>
      </c>
      <c r="J34">
        <v>5</v>
      </c>
      <c r="N34" s="87"/>
      <c r="O34" s="87"/>
    </row>
    <row r="35" spans="1:15">
      <c r="A35">
        <v>31698303</v>
      </c>
      <c r="B35" t="b">
        <v>1</v>
      </c>
      <c r="C35" t="b">
        <v>0</v>
      </c>
      <c r="D35" t="b">
        <v>0</v>
      </c>
      <c r="E35" t="b">
        <v>0</v>
      </c>
      <c r="F35" s="88" t="s">
        <v>628</v>
      </c>
      <c r="G35" s="88" t="s">
        <v>586</v>
      </c>
      <c r="H35">
        <v>1</v>
      </c>
      <c r="I35">
        <v>12</v>
      </c>
      <c r="J35">
        <v>12</v>
      </c>
      <c r="N35" s="87"/>
      <c r="O35" s="87"/>
    </row>
    <row r="36" spans="1:15">
      <c r="A36">
        <v>31698303</v>
      </c>
      <c r="B36" t="b">
        <v>0</v>
      </c>
      <c r="C36" t="b">
        <v>1</v>
      </c>
      <c r="D36" t="b">
        <v>0</v>
      </c>
      <c r="E36" t="b">
        <v>0</v>
      </c>
      <c r="F36" s="88" t="s">
        <v>586</v>
      </c>
      <c r="G36" s="88" t="s">
        <v>587</v>
      </c>
      <c r="H36">
        <v>1</v>
      </c>
      <c r="I36">
        <v>15</v>
      </c>
      <c r="J36">
        <v>15</v>
      </c>
      <c r="N36" s="87"/>
      <c r="O36" s="87"/>
    </row>
    <row r="37" spans="1:15">
      <c r="A37">
        <v>32095336</v>
      </c>
      <c r="B37" t="b">
        <v>1</v>
      </c>
      <c r="C37" t="b">
        <v>0</v>
      </c>
      <c r="D37" t="b">
        <v>0</v>
      </c>
      <c r="E37" t="b">
        <v>0</v>
      </c>
      <c r="F37" s="88" t="s">
        <v>591</v>
      </c>
      <c r="G37" s="88" t="s">
        <v>592</v>
      </c>
      <c r="H37">
        <v>1</v>
      </c>
      <c r="I37">
        <v>4</v>
      </c>
      <c r="J37">
        <v>4</v>
      </c>
      <c r="N37" s="87"/>
      <c r="O37" s="87"/>
    </row>
    <row r="38" spans="1:15">
      <c r="A38">
        <v>32095336</v>
      </c>
      <c r="B38" t="b">
        <v>0</v>
      </c>
      <c r="C38" t="b">
        <v>1</v>
      </c>
      <c r="D38" t="b">
        <v>0</v>
      </c>
      <c r="E38" t="b">
        <v>0</v>
      </c>
      <c r="F38" s="88" t="s">
        <v>590</v>
      </c>
      <c r="G38" s="88" t="s">
        <v>591</v>
      </c>
      <c r="H38">
        <v>1</v>
      </c>
      <c r="I38">
        <v>4</v>
      </c>
      <c r="J38">
        <v>4</v>
      </c>
      <c r="N38" s="87"/>
      <c r="O38" s="87"/>
    </row>
    <row r="39" spans="1:15">
      <c r="A39">
        <v>32177177</v>
      </c>
      <c r="B39" t="b">
        <v>0</v>
      </c>
      <c r="C39" t="b">
        <v>1</v>
      </c>
      <c r="D39" t="b">
        <v>0</v>
      </c>
      <c r="E39" t="b">
        <v>0</v>
      </c>
      <c r="F39" s="88" t="s">
        <v>629</v>
      </c>
      <c r="G39" s="88" t="s">
        <v>630</v>
      </c>
      <c r="H39">
        <v>1</v>
      </c>
      <c r="I39">
        <v>15</v>
      </c>
      <c r="J39">
        <v>15</v>
      </c>
      <c r="N39" s="87"/>
      <c r="O39" s="87"/>
    </row>
    <row r="40" spans="1:15">
      <c r="A40">
        <v>32203336</v>
      </c>
      <c r="B40" t="b">
        <v>1</v>
      </c>
      <c r="C40" t="b">
        <v>0</v>
      </c>
      <c r="D40" t="b">
        <v>0</v>
      </c>
      <c r="E40" t="b">
        <v>0</v>
      </c>
      <c r="F40" s="88" t="s">
        <v>631</v>
      </c>
      <c r="G40" s="88" t="s">
        <v>632</v>
      </c>
      <c r="H40">
        <v>1</v>
      </c>
      <c r="I40">
        <v>7</v>
      </c>
      <c r="J40">
        <v>7</v>
      </c>
      <c r="N40" s="87"/>
      <c r="O40" s="87"/>
    </row>
    <row r="41" spans="1:15">
      <c r="A41">
        <v>32203336</v>
      </c>
      <c r="B41" t="b">
        <v>0</v>
      </c>
      <c r="C41" t="b">
        <v>0</v>
      </c>
      <c r="D41" t="b">
        <v>1</v>
      </c>
      <c r="E41" t="b">
        <v>0</v>
      </c>
      <c r="F41" s="88" t="s">
        <v>633</v>
      </c>
      <c r="G41" s="88" t="s">
        <v>634</v>
      </c>
      <c r="H41">
        <v>1</v>
      </c>
      <c r="I41">
        <v>2</v>
      </c>
      <c r="J41">
        <v>2</v>
      </c>
      <c r="N41" s="87"/>
      <c r="O41" s="87"/>
    </row>
    <row r="42" spans="1:15">
      <c r="A42">
        <v>32222463</v>
      </c>
      <c r="B42" t="b">
        <v>1</v>
      </c>
      <c r="C42" t="b">
        <v>0</v>
      </c>
      <c r="D42" t="b">
        <v>0</v>
      </c>
      <c r="E42" t="b">
        <v>0</v>
      </c>
      <c r="F42" s="88" t="s">
        <v>626</v>
      </c>
      <c r="G42" s="88" t="s">
        <v>627</v>
      </c>
      <c r="H42">
        <v>1</v>
      </c>
      <c r="I42">
        <v>6</v>
      </c>
      <c r="J42">
        <v>6</v>
      </c>
      <c r="N42" s="87"/>
      <c r="O42" s="87"/>
    </row>
    <row r="43" spans="1:15">
      <c r="A43">
        <v>32223105</v>
      </c>
      <c r="B43" t="b">
        <v>0</v>
      </c>
      <c r="C43" t="b">
        <v>0</v>
      </c>
      <c r="D43" t="b">
        <v>1</v>
      </c>
      <c r="E43" t="b">
        <v>0</v>
      </c>
      <c r="F43" s="88" t="s">
        <v>603</v>
      </c>
      <c r="G43" s="88" t="s">
        <v>604</v>
      </c>
      <c r="H43">
        <v>1</v>
      </c>
      <c r="I43">
        <v>15</v>
      </c>
      <c r="J43">
        <v>15</v>
      </c>
      <c r="N43" s="87"/>
      <c r="O43" s="87"/>
    </row>
    <row r="44" spans="1:15">
      <c r="A44">
        <v>32241505</v>
      </c>
      <c r="B44" t="b">
        <v>0</v>
      </c>
      <c r="C44" t="b">
        <v>0</v>
      </c>
      <c r="D44" t="b">
        <v>1</v>
      </c>
      <c r="E44" t="b">
        <v>0</v>
      </c>
      <c r="F44" s="88" t="s">
        <v>617</v>
      </c>
      <c r="G44" s="88" t="s">
        <v>635</v>
      </c>
      <c r="H44">
        <v>4</v>
      </c>
      <c r="I44">
        <v>6</v>
      </c>
      <c r="J44">
        <v>4</v>
      </c>
      <c r="N44" s="87"/>
      <c r="O44" s="87"/>
    </row>
    <row r="45" spans="1:15">
      <c r="A45">
        <v>33131427</v>
      </c>
      <c r="B45" t="b">
        <v>1</v>
      </c>
      <c r="C45" t="b">
        <v>1</v>
      </c>
      <c r="D45" t="b">
        <v>1</v>
      </c>
      <c r="E45" t="b">
        <v>1</v>
      </c>
      <c r="F45" s="88" t="s">
        <v>636</v>
      </c>
      <c r="G45" s="88" t="s">
        <v>596</v>
      </c>
      <c r="H45">
        <v>1</v>
      </c>
      <c r="I45">
        <v>12</v>
      </c>
      <c r="J45">
        <v>12</v>
      </c>
      <c r="N45" s="87"/>
      <c r="O45" s="87"/>
    </row>
    <row r="46" spans="1:15">
      <c r="A46">
        <v>33131431</v>
      </c>
      <c r="B46" t="b">
        <v>1</v>
      </c>
      <c r="C46" t="b">
        <v>0</v>
      </c>
      <c r="D46" t="b">
        <v>0</v>
      </c>
      <c r="E46" t="b">
        <v>0</v>
      </c>
      <c r="F46" s="88" t="s">
        <v>637</v>
      </c>
      <c r="G46" s="88" t="s">
        <v>638</v>
      </c>
      <c r="H46">
        <v>1</v>
      </c>
      <c r="I46">
        <v>10</v>
      </c>
      <c r="J46">
        <v>10</v>
      </c>
      <c r="N46" s="87"/>
      <c r="O46" s="87"/>
    </row>
    <row r="47" spans="1:15">
      <c r="A47">
        <v>33182627</v>
      </c>
      <c r="B47" t="b">
        <v>0</v>
      </c>
      <c r="C47" t="b">
        <v>0</v>
      </c>
      <c r="D47" t="b">
        <v>0</v>
      </c>
      <c r="E47" t="b">
        <v>1</v>
      </c>
      <c r="F47" s="88" t="s">
        <v>612</v>
      </c>
      <c r="G47" s="88" t="s">
        <v>592</v>
      </c>
      <c r="H47">
        <v>1</v>
      </c>
      <c r="I47">
        <v>15</v>
      </c>
      <c r="J47">
        <v>15</v>
      </c>
      <c r="N47" s="87"/>
      <c r="O47" s="87"/>
    </row>
    <row r="48" spans="1:15">
      <c r="A48">
        <v>33701021</v>
      </c>
      <c r="B48" t="b">
        <v>0</v>
      </c>
      <c r="C48" t="b">
        <v>1</v>
      </c>
      <c r="D48" t="b">
        <v>0</v>
      </c>
      <c r="E48" t="b">
        <v>0</v>
      </c>
      <c r="F48" s="88" t="s">
        <v>589</v>
      </c>
      <c r="G48" s="88" t="s">
        <v>639</v>
      </c>
      <c r="H48">
        <v>1</v>
      </c>
      <c r="I48">
        <v>6</v>
      </c>
      <c r="J48">
        <v>6</v>
      </c>
      <c r="N48" s="87"/>
      <c r="O48" s="87"/>
    </row>
    <row r="49" spans="1:15">
      <c r="A49">
        <v>33701036</v>
      </c>
      <c r="B49" t="b">
        <v>0</v>
      </c>
      <c r="C49" t="b">
        <v>1</v>
      </c>
      <c r="D49" t="b">
        <v>0</v>
      </c>
      <c r="E49" t="b">
        <v>0</v>
      </c>
      <c r="F49" s="88" t="s">
        <v>595</v>
      </c>
      <c r="G49" s="88" t="s">
        <v>596</v>
      </c>
      <c r="H49">
        <v>2</v>
      </c>
      <c r="I49">
        <v>6</v>
      </c>
      <c r="J49">
        <v>6</v>
      </c>
      <c r="N49" s="87"/>
      <c r="O49" s="87"/>
    </row>
    <row r="50" spans="1:15">
      <c r="A50">
        <v>33701501</v>
      </c>
      <c r="B50" t="b">
        <v>1</v>
      </c>
      <c r="C50" t="b">
        <v>0</v>
      </c>
      <c r="D50" t="b">
        <v>0</v>
      </c>
      <c r="E50" t="b">
        <v>0</v>
      </c>
      <c r="F50" s="88" t="s">
        <v>621</v>
      </c>
      <c r="G50" s="88" t="s">
        <v>640</v>
      </c>
      <c r="H50">
        <v>1</v>
      </c>
      <c r="I50">
        <v>2</v>
      </c>
      <c r="J50">
        <v>2</v>
      </c>
      <c r="N50" s="87"/>
      <c r="O50" s="87"/>
    </row>
    <row r="51" spans="1:15">
      <c r="A51">
        <v>33721337</v>
      </c>
      <c r="B51" t="b">
        <v>0</v>
      </c>
      <c r="C51" t="b">
        <v>0</v>
      </c>
      <c r="D51" t="b">
        <v>0</v>
      </c>
      <c r="E51" t="b">
        <v>1</v>
      </c>
      <c r="F51" s="88" t="s">
        <v>603</v>
      </c>
      <c r="G51" s="88" t="s">
        <v>621</v>
      </c>
      <c r="H51">
        <v>6</v>
      </c>
      <c r="I51">
        <v>15</v>
      </c>
      <c r="J51">
        <v>15</v>
      </c>
      <c r="N51" s="87"/>
      <c r="O51" s="87"/>
    </row>
    <row r="52" spans="1:15">
      <c r="A52">
        <v>34226706</v>
      </c>
      <c r="B52" t="b">
        <v>0</v>
      </c>
      <c r="C52" t="b">
        <v>0</v>
      </c>
      <c r="D52" t="b">
        <v>0</v>
      </c>
      <c r="E52" t="b">
        <v>1</v>
      </c>
      <c r="F52" s="88" t="s">
        <v>641</v>
      </c>
      <c r="G52" s="88" t="s">
        <v>638</v>
      </c>
      <c r="H52">
        <v>4</v>
      </c>
      <c r="I52">
        <v>15</v>
      </c>
      <c r="J52">
        <v>11</v>
      </c>
      <c r="N52" s="87"/>
      <c r="O52" s="87"/>
    </row>
    <row r="53" spans="1:15">
      <c r="A53">
        <v>34654536</v>
      </c>
      <c r="B53" t="b">
        <v>0</v>
      </c>
      <c r="C53" t="b">
        <v>1</v>
      </c>
      <c r="D53" t="b">
        <v>0</v>
      </c>
      <c r="E53" t="b">
        <v>0</v>
      </c>
      <c r="F53" s="88" t="s">
        <v>614</v>
      </c>
      <c r="G53" s="88" t="s">
        <v>615</v>
      </c>
      <c r="H53">
        <v>1</v>
      </c>
      <c r="I53">
        <v>3</v>
      </c>
      <c r="J53">
        <v>3</v>
      </c>
      <c r="N53" s="87"/>
      <c r="O53" s="87"/>
    </row>
    <row r="54" spans="1:15">
      <c r="A54">
        <v>34655911</v>
      </c>
      <c r="B54" t="b">
        <v>1</v>
      </c>
      <c r="C54" t="b">
        <v>1</v>
      </c>
      <c r="D54" t="b">
        <v>1</v>
      </c>
      <c r="E54" t="b">
        <v>1</v>
      </c>
      <c r="F54" s="88" t="s">
        <v>639</v>
      </c>
      <c r="G54" s="88" t="s">
        <v>624</v>
      </c>
      <c r="H54">
        <v>1</v>
      </c>
      <c r="I54">
        <v>4</v>
      </c>
      <c r="J54">
        <v>4</v>
      </c>
      <c r="N54" s="87"/>
      <c r="O54" s="87"/>
    </row>
    <row r="55" spans="1:15">
      <c r="A55">
        <v>34680471</v>
      </c>
      <c r="B55" t="b">
        <v>0</v>
      </c>
      <c r="C55" t="b">
        <v>0</v>
      </c>
      <c r="D55" t="b">
        <v>1</v>
      </c>
      <c r="E55" t="b">
        <v>0</v>
      </c>
      <c r="F55" s="88" t="s">
        <v>637</v>
      </c>
      <c r="G55" s="88" t="s">
        <v>638</v>
      </c>
      <c r="H55">
        <v>1</v>
      </c>
      <c r="I55">
        <v>10</v>
      </c>
      <c r="J55">
        <v>10</v>
      </c>
      <c r="N55" s="87"/>
      <c r="O55" s="87"/>
    </row>
    <row r="56" spans="1:15">
      <c r="A56">
        <v>34705185</v>
      </c>
      <c r="B56" t="b">
        <v>0</v>
      </c>
      <c r="C56" t="b">
        <v>0</v>
      </c>
      <c r="D56" t="b">
        <v>1</v>
      </c>
      <c r="E56" t="b">
        <v>0</v>
      </c>
      <c r="F56" s="88" t="s">
        <v>642</v>
      </c>
      <c r="G56" s="88" t="s">
        <v>643</v>
      </c>
      <c r="H56">
        <v>1</v>
      </c>
      <c r="I56">
        <v>8</v>
      </c>
      <c r="J56">
        <v>8</v>
      </c>
      <c r="N56" s="87"/>
      <c r="O56" s="87"/>
    </row>
    <row r="57" spans="1:15">
      <c r="A57">
        <v>34706538</v>
      </c>
      <c r="B57" t="b">
        <v>1</v>
      </c>
      <c r="C57" t="b">
        <v>0</v>
      </c>
      <c r="D57" t="b">
        <v>0</v>
      </c>
      <c r="E57" t="b">
        <v>0</v>
      </c>
      <c r="F57" s="88" t="s">
        <v>606</v>
      </c>
      <c r="G57" s="88" t="s">
        <v>613</v>
      </c>
      <c r="H57">
        <v>4</v>
      </c>
      <c r="I57">
        <v>15</v>
      </c>
      <c r="J57">
        <v>11</v>
      </c>
      <c r="N57" s="87"/>
      <c r="O57" s="87"/>
    </row>
    <row r="58" spans="1:15">
      <c r="A58">
        <v>34737193</v>
      </c>
      <c r="B58" t="b">
        <v>0</v>
      </c>
      <c r="C58" t="b">
        <v>0</v>
      </c>
      <c r="D58" t="b">
        <v>1</v>
      </c>
      <c r="E58" t="b">
        <v>0</v>
      </c>
      <c r="F58" s="88" t="s">
        <v>596</v>
      </c>
      <c r="G58" s="88" t="s">
        <v>611</v>
      </c>
      <c r="H58">
        <v>1</v>
      </c>
      <c r="I58">
        <v>7</v>
      </c>
      <c r="J58">
        <v>7</v>
      </c>
      <c r="N58" s="87"/>
      <c r="O58" s="87"/>
    </row>
    <row r="59" spans="1:15">
      <c r="A59">
        <v>34737503</v>
      </c>
      <c r="B59" t="b">
        <v>0</v>
      </c>
      <c r="C59" t="b">
        <v>1</v>
      </c>
      <c r="D59" t="b">
        <v>0</v>
      </c>
      <c r="E59" t="b">
        <v>0</v>
      </c>
      <c r="F59" s="88" t="s">
        <v>642</v>
      </c>
      <c r="G59" s="88" t="s">
        <v>643</v>
      </c>
      <c r="H59">
        <v>1</v>
      </c>
      <c r="I59">
        <v>4</v>
      </c>
      <c r="J59">
        <v>4</v>
      </c>
      <c r="N59" s="87"/>
      <c r="O59" s="87"/>
    </row>
    <row r="60" spans="1:15">
      <c r="A60">
        <v>34769183</v>
      </c>
      <c r="B60" t="b">
        <v>0</v>
      </c>
      <c r="C60" t="b">
        <v>0</v>
      </c>
      <c r="D60" t="b">
        <v>0</v>
      </c>
      <c r="E60" t="b">
        <v>1</v>
      </c>
      <c r="F60" s="88" t="s">
        <v>634</v>
      </c>
      <c r="G60" s="88" t="s">
        <v>644</v>
      </c>
      <c r="H60">
        <v>1</v>
      </c>
      <c r="I60">
        <v>6</v>
      </c>
      <c r="J60">
        <v>6</v>
      </c>
      <c r="N60" s="87"/>
      <c r="O60" s="87"/>
    </row>
    <row r="61" spans="1:15">
      <c r="A61">
        <v>34808935</v>
      </c>
      <c r="B61" t="b">
        <v>0</v>
      </c>
      <c r="C61" t="b">
        <v>1</v>
      </c>
      <c r="D61" t="b">
        <v>0</v>
      </c>
      <c r="E61" t="b">
        <v>0</v>
      </c>
      <c r="F61" s="88" t="s">
        <v>645</v>
      </c>
      <c r="G61" s="88" t="s">
        <v>646</v>
      </c>
      <c r="H61">
        <v>1</v>
      </c>
      <c r="I61">
        <v>9</v>
      </c>
      <c r="J61">
        <v>9</v>
      </c>
      <c r="N61" s="87"/>
      <c r="O61" s="87"/>
    </row>
    <row r="62" spans="1:15">
      <c r="A62">
        <v>35210793</v>
      </c>
      <c r="B62" t="b">
        <v>1</v>
      </c>
      <c r="C62" t="b">
        <v>0</v>
      </c>
      <c r="D62" t="b">
        <v>0</v>
      </c>
      <c r="E62" t="b">
        <v>0</v>
      </c>
      <c r="F62" s="88" t="s">
        <v>593</v>
      </c>
      <c r="G62" s="88" t="s">
        <v>594</v>
      </c>
      <c r="H62">
        <v>1</v>
      </c>
      <c r="I62">
        <v>6</v>
      </c>
      <c r="J62">
        <v>6</v>
      </c>
      <c r="N62" s="87"/>
      <c r="O62" s="87"/>
    </row>
    <row r="63" spans="1:15">
      <c r="A63">
        <v>35244304</v>
      </c>
      <c r="B63" t="b">
        <v>0</v>
      </c>
      <c r="C63" t="b">
        <v>0</v>
      </c>
      <c r="D63" t="b">
        <v>1</v>
      </c>
      <c r="E63" t="b">
        <v>0</v>
      </c>
      <c r="F63" s="88" t="s">
        <v>614</v>
      </c>
      <c r="G63" s="88" t="s">
        <v>615</v>
      </c>
      <c r="H63">
        <v>1</v>
      </c>
      <c r="I63">
        <v>15</v>
      </c>
      <c r="J63">
        <v>15</v>
      </c>
      <c r="N63" s="87"/>
      <c r="O63" s="87"/>
    </row>
    <row r="64" spans="1:15">
      <c r="A64">
        <v>35261984</v>
      </c>
      <c r="B64" t="b">
        <v>0</v>
      </c>
      <c r="C64" t="b">
        <v>0</v>
      </c>
      <c r="D64" t="b">
        <v>1</v>
      </c>
      <c r="E64" t="b">
        <v>0</v>
      </c>
      <c r="F64" s="88" t="s">
        <v>606</v>
      </c>
      <c r="G64" s="88" t="s">
        <v>647</v>
      </c>
      <c r="H64">
        <v>1</v>
      </c>
      <c r="I64">
        <v>15</v>
      </c>
      <c r="J64">
        <v>15</v>
      </c>
      <c r="N64" s="87"/>
      <c r="O64" s="87"/>
    </row>
    <row r="65" spans="1:15">
      <c r="A65">
        <v>35275115</v>
      </c>
      <c r="B65" t="b">
        <v>0</v>
      </c>
      <c r="C65" t="b">
        <v>1</v>
      </c>
      <c r="D65" t="b">
        <v>0</v>
      </c>
      <c r="E65" t="b">
        <v>0</v>
      </c>
      <c r="F65" s="88" t="s">
        <v>606</v>
      </c>
      <c r="G65" s="88" t="s">
        <v>613</v>
      </c>
      <c r="H65">
        <v>1</v>
      </c>
      <c r="I65">
        <v>15</v>
      </c>
      <c r="J65">
        <v>15</v>
      </c>
      <c r="N65" s="87"/>
      <c r="O65" s="87"/>
    </row>
    <row r="66" spans="1:15">
      <c r="A66">
        <v>35275980</v>
      </c>
      <c r="B66" t="b">
        <v>1</v>
      </c>
      <c r="C66" t="b">
        <v>0</v>
      </c>
      <c r="D66" t="b">
        <v>0</v>
      </c>
      <c r="E66" t="b">
        <v>0</v>
      </c>
      <c r="F66" s="88" t="s">
        <v>648</v>
      </c>
      <c r="G66" s="88" t="s">
        <v>649</v>
      </c>
      <c r="H66">
        <v>1</v>
      </c>
      <c r="I66">
        <v>4</v>
      </c>
      <c r="J66">
        <v>4</v>
      </c>
      <c r="N66" s="87"/>
      <c r="O66" s="87"/>
    </row>
    <row r="67" spans="1:15">
      <c r="A67">
        <v>35281151</v>
      </c>
      <c r="B67" t="b">
        <v>0</v>
      </c>
      <c r="C67" t="b">
        <v>0</v>
      </c>
      <c r="D67" t="b">
        <v>1</v>
      </c>
      <c r="E67" t="b">
        <v>0</v>
      </c>
      <c r="F67" s="88" t="s">
        <v>593</v>
      </c>
      <c r="G67" s="88" t="s">
        <v>594</v>
      </c>
      <c r="H67">
        <v>1</v>
      </c>
      <c r="I67">
        <v>15</v>
      </c>
      <c r="J67">
        <v>15</v>
      </c>
      <c r="N67" s="87"/>
      <c r="O67" s="87"/>
    </row>
    <row r="68" spans="1:15">
      <c r="A68">
        <v>35294552</v>
      </c>
      <c r="B68" t="b">
        <v>0</v>
      </c>
      <c r="C68" t="b">
        <v>1</v>
      </c>
      <c r="D68" t="b">
        <v>0</v>
      </c>
      <c r="E68" t="b">
        <v>0</v>
      </c>
      <c r="F68" s="88" t="s">
        <v>642</v>
      </c>
      <c r="G68" s="88" t="s">
        <v>643</v>
      </c>
      <c r="H68">
        <v>1</v>
      </c>
      <c r="I68">
        <v>2</v>
      </c>
      <c r="J68">
        <v>2</v>
      </c>
      <c r="N68" s="87"/>
      <c r="O68" s="87"/>
    </row>
    <row r="69" spans="1:15">
      <c r="A69">
        <v>35768949</v>
      </c>
      <c r="B69" t="b">
        <v>0</v>
      </c>
      <c r="C69" t="b">
        <v>1</v>
      </c>
      <c r="D69" t="b">
        <v>0</v>
      </c>
      <c r="E69" t="b">
        <v>0</v>
      </c>
      <c r="F69" s="88" t="s">
        <v>595</v>
      </c>
      <c r="G69" s="88" t="s">
        <v>596</v>
      </c>
      <c r="H69">
        <v>1</v>
      </c>
      <c r="I69">
        <v>8</v>
      </c>
      <c r="J69">
        <v>8</v>
      </c>
      <c r="N69" s="87"/>
      <c r="O69" s="87"/>
    </row>
    <row r="70" spans="1:15">
      <c r="A70">
        <v>36702536</v>
      </c>
      <c r="B70" t="b">
        <v>1</v>
      </c>
      <c r="C70" t="b">
        <v>0</v>
      </c>
      <c r="D70" t="b">
        <v>0</v>
      </c>
      <c r="E70" t="b">
        <v>0</v>
      </c>
      <c r="F70" s="88" t="s">
        <v>632</v>
      </c>
      <c r="G70" s="88" t="s">
        <v>650</v>
      </c>
      <c r="H70">
        <v>1</v>
      </c>
      <c r="I70">
        <v>4</v>
      </c>
      <c r="J70">
        <v>4</v>
      </c>
      <c r="N70" s="87"/>
      <c r="O70" s="87"/>
    </row>
    <row r="71" spans="1:15">
      <c r="A71">
        <v>36715494</v>
      </c>
      <c r="B71" t="b">
        <v>1</v>
      </c>
      <c r="C71" t="b">
        <v>0</v>
      </c>
      <c r="D71" t="b">
        <v>0</v>
      </c>
      <c r="E71" t="b">
        <v>0</v>
      </c>
      <c r="F71" s="88" t="s">
        <v>626</v>
      </c>
      <c r="G71" s="88" t="s">
        <v>651</v>
      </c>
      <c r="H71">
        <v>1</v>
      </c>
      <c r="I71">
        <v>6</v>
      </c>
      <c r="J71">
        <v>6</v>
      </c>
      <c r="N71" s="87"/>
      <c r="O71" s="87"/>
    </row>
    <row r="72" spans="1:15">
      <c r="A72">
        <v>36715494</v>
      </c>
      <c r="B72" t="b">
        <v>0</v>
      </c>
      <c r="C72" t="b">
        <v>1</v>
      </c>
      <c r="D72" t="b">
        <v>0</v>
      </c>
      <c r="E72" t="b">
        <v>0</v>
      </c>
      <c r="F72" s="88" t="s">
        <v>651</v>
      </c>
      <c r="G72" s="88" t="s">
        <v>652</v>
      </c>
      <c r="H72">
        <v>1</v>
      </c>
      <c r="I72">
        <v>15</v>
      </c>
      <c r="J72">
        <v>15</v>
      </c>
      <c r="N72" s="87"/>
      <c r="O72" s="87"/>
    </row>
    <row r="73" spans="1:15">
      <c r="A73">
        <v>36779497</v>
      </c>
      <c r="B73" t="b">
        <v>0</v>
      </c>
      <c r="C73" t="b">
        <v>0</v>
      </c>
      <c r="D73" t="b">
        <v>1</v>
      </c>
      <c r="E73" t="b">
        <v>0</v>
      </c>
      <c r="F73" s="88" t="s">
        <v>595</v>
      </c>
      <c r="G73" s="88" t="s">
        <v>596</v>
      </c>
      <c r="H73">
        <v>1</v>
      </c>
      <c r="I73">
        <v>15</v>
      </c>
      <c r="J73">
        <v>15</v>
      </c>
      <c r="N73" s="87"/>
      <c r="O73" s="87"/>
    </row>
    <row r="74" spans="1:15">
      <c r="A74">
        <v>36792262</v>
      </c>
      <c r="B74" t="b">
        <v>1</v>
      </c>
      <c r="C74" t="b">
        <v>0</v>
      </c>
      <c r="D74" t="b">
        <v>0</v>
      </c>
      <c r="E74" t="b">
        <v>0</v>
      </c>
      <c r="F74" s="88" t="s">
        <v>634</v>
      </c>
      <c r="G74" s="88" t="s">
        <v>644</v>
      </c>
      <c r="H74">
        <v>4</v>
      </c>
      <c r="I74">
        <v>15</v>
      </c>
      <c r="J74">
        <v>15</v>
      </c>
      <c r="N74" s="87"/>
      <c r="O74" s="87"/>
    </row>
    <row r="75" spans="1:15">
      <c r="A75">
        <v>36811113</v>
      </c>
      <c r="B75" t="b">
        <v>0</v>
      </c>
      <c r="C75" t="b">
        <v>1</v>
      </c>
      <c r="D75" t="b">
        <v>0</v>
      </c>
      <c r="E75" t="b">
        <v>0</v>
      </c>
      <c r="F75" s="88" t="s">
        <v>609</v>
      </c>
      <c r="G75" s="88" t="s">
        <v>610</v>
      </c>
      <c r="H75">
        <v>1</v>
      </c>
      <c r="I75">
        <v>8</v>
      </c>
      <c r="J75">
        <v>8</v>
      </c>
      <c r="N75" s="87"/>
      <c r="O75" s="87"/>
    </row>
    <row r="76" spans="1:15">
      <c r="A76">
        <v>36829985</v>
      </c>
      <c r="B76" t="b">
        <v>0</v>
      </c>
      <c r="C76" t="b">
        <v>0</v>
      </c>
      <c r="D76" t="b">
        <v>0</v>
      </c>
      <c r="E76" t="b">
        <v>1</v>
      </c>
      <c r="F76" s="88" t="s">
        <v>609</v>
      </c>
      <c r="G76" s="88" t="s">
        <v>610</v>
      </c>
      <c r="H76">
        <v>2</v>
      </c>
      <c r="I76">
        <v>9</v>
      </c>
      <c r="J76">
        <v>9</v>
      </c>
      <c r="N76" s="87"/>
      <c r="O76" s="87"/>
    </row>
    <row r="77" spans="1:15">
      <c r="A77">
        <v>37290782</v>
      </c>
      <c r="B77" t="b">
        <v>0</v>
      </c>
      <c r="C77" t="b">
        <v>0</v>
      </c>
      <c r="D77" t="b">
        <v>1</v>
      </c>
      <c r="E77" t="b">
        <v>0</v>
      </c>
      <c r="F77" s="88" t="s">
        <v>653</v>
      </c>
      <c r="G77" s="88" t="s">
        <v>600</v>
      </c>
      <c r="H77">
        <v>1</v>
      </c>
      <c r="I77">
        <v>15</v>
      </c>
      <c r="J77">
        <v>15</v>
      </c>
      <c r="N77" s="87"/>
      <c r="O77" s="87"/>
    </row>
    <row r="78" spans="1:15">
      <c r="A78">
        <v>37726952</v>
      </c>
      <c r="B78" t="b">
        <v>0</v>
      </c>
      <c r="C78" t="b">
        <v>1</v>
      </c>
      <c r="D78" t="b">
        <v>0</v>
      </c>
      <c r="E78" t="b">
        <v>0</v>
      </c>
      <c r="F78" s="88" t="s">
        <v>592</v>
      </c>
      <c r="G78" s="88" t="s">
        <v>602</v>
      </c>
      <c r="H78">
        <v>1</v>
      </c>
      <c r="I78">
        <v>3</v>
      </c>
      <c r="J78">
        <v>3</v>
      </c>
      <c r="N78" s="87"/>
      <c r="O78" s="87"/>
    </row>
    <row r="79" spans="1:15">
      <c r="A79">
        <v>37777504</v>
      </c>
      <c r="B79" t="b">
        <v>0</v>
      </c>
      <c r="C79" t="b">
        <v>0</v>
      </c>
      <c r="D79" t="b">
        <v>1</v>
      </c>
      <c r="E79" t="b">
        <v>0</v>
      </c>
      <c r="F79" s="88" t="s">
        <v>637</v>
      </c>
      <c r="G79" s="88" t="s">
        <v>632</v>
      </c>
      <c r="H79">
        <v>1</v>
      </c>
      <c r="I79">
        <v>4</v>
      </c>
      <c r="J79">
        <v>4</v>
      </c>
      <c r="N79" s="87"/>
      <c r="O79" s="87"/>
    </row>
    <row r="80" spans="1:15">
      <c r="A80">
        <v>37815752</v>
      </c>
      <c r="B80" t="b">
        <v>0</v>
      </c>
      <c r="C80" t="b">
        <v>0</v>
      </c>
      <c r="D80" t="b">
        <v>1</v>
      </c>
      <c r="E80" t="b">
        <v>0</v>
      </c>
      <c r="F80" s="88" t="s">
        <v>654</v>
      </c>
      <c r="G80" s="88" t="s">
        <v>655</v>
      </c>
      <c r="H80">
        <v>1</v>
      </c>
      <c r="I80">
        <v>4</v>
      </c>
      <c r="J80">
        <v>4</v>
      </c>
      <c r="N80" s="87"/>
      <c r="O80" s="87"/>
    </row>
    <row r="81" spans="1:15">
      <c r="A81">
        <v>37816949</v>
      </c>
      <c r="B81" t="b">
        <v>1</v>
      </c>
      <c r="C81" t="b">
        <v>0</v>
      </c>
      <c r="D81" t="b">
        <v>0</v>
      </c>
      <c r="E81" t="b">
        <v>0</v>
      </c>
      <c r="F81" s="88" t="s">
        <v>640</v>
      </c>
      <c r="G81" s="88" t="s">
        <v>656</v>
      </c>
      <c r="H81">
        <v>1</v>
      </c>
      <c r="I81">
        <v>6</v>
      </c>
      <c r="J81">
        <v>6</v>
      </c>
      <c r="N81" s="87"/>
      <c r="O81" s="87"/>
    </row>
    <row r="82" spans="1:15">
      <c r="A82">
        <v>37834786</v>
      </c>
      <c r="B82" t="b">
        <v>0</v>
      </c>
      <c r="C82" t="b">
        <v>1</v>
      </c>
      <c r="D82" t="b">
        <v>0</v>
      </c>
      <c r="E82" t="b">
        <v>0</v>
      </c>
      <c r="F82" s="88" t="s">
        <v>593</v>
      </c>
      <c r="G82" s="88" t="s">
        <v>594</v>
      </c>
      <c r="H82">
        <v>1</v>
      </c>
      <c r="I82">
        <v>15</v>
      </c>
      <c r="J82">
        <v>11</v>
      </c>
      <c r="N82" s="87"/>
      <c r="O82" s="87"/>
    </row>
    <row r="83" spans="1:15">
      <c r="A83">
        <v>37841836</v>
      </c>
      <c r="B83" t="b">
        <v>1</v>
      </c>
      <c r="C83" t="b">
        <v>1</v>
      </c>
      <c r="D83" t="b">
        <v>1</v>
      </c>
      <c r="E83" t="b">
        <v>1</v>
      </c>
      <c r="F83" s="88" t="s">
        <v>609</v>
      </c>
      <c r="G83" s="88" t="s">
        <v>610</v>
      </c>
      <c r="H83">
        <v>1</v>
      </c>
      <c r="I83">
        <v>6</v>
      </c>
      <c r="J83">
        <v>4</v>
      </c>
      <c r="N83" s="87"/>
      <c r="O83" s="87"/>
    </row>
    <row r="84" spans="1:15">
      <c r="A84">
        <v>37847586</v>
      </c>
      <c r="B84" t="b">
        <v>1</v>
      </c>
      <c r="C84" t="b">
        <v>0</v>
      </c>
      <c r="D84" t="b">
        <v>0</v>
      </c>
      <c r="E84" t="b">
        <v>0</v>
      </c>
      <c r="F84" s="88" t="s">
        <v>609</v>
      </c>
      <c r="G84" s="88" t="s">
        <v>610</v>
      </c>
      <c r="H84">
        <v>1</v>
      </c>
      <c r="I84">
        <v>5</v>
      </c>
      <c r="J84">
        <v>4</v>
      </c>
      <c r="N84" s="87"/>
      <c r="O84" s="87"/>
    </row>
    <row r="85" spans="1:15">
      <c r="A85">
        <v>38329497</v>
      </c>
      <c r="B85" t="b">
        <v>0</v>
      </c>
      <c r="C85" t="b">
        <v>0</v>
      </c>
      <c r="D85" t="b">
        <v>1</v>
      </c>
      <c r="E85" t="b">
        <v>0</v>
      </c>
      <c r="F85" s="88" t="s">
        <v>588</v>
      </c>
      <c r="G85" s="88" t="s">
        <v>589</v>
      </c>
      <c r="H85">
        <v>1</v>
      </c>
      <c r="I85">
        <v>3</v>
      </c>
      <c r="J85">
        <v>3</v>
      </c>
      <c r="N85" s="87"/>
      <c r="O85" s="87"/>
    </row>
    <row r="86" spans="1:15">
      <c r="A86">
        <v>38777112</v>
      </c>
      <c r="B86" t="b">
        <v>0</v>
      </c>
      <c r="C86" t="b">
        <v>0</v>
      </c>
      <c r="D86" t="b">
        <v>1</v>
      </c>
      <c r="E86" t="b">
        <v>0</v>
      </c>
      <c r="F86" s="88" t="s">
        <v>634</v>
      </c>
      <c r="G86" s="88" t="s">
        <v>644</v>
      </c>
      <c r="H86">
        <v>5</v>
      </c>
      <c r="I86">
        <v>6</v>
      </c>
      <c r="J86">
        <v>4</v>
      </c>
      <c r="N86" s="87"/>
      <c r="O86" s="87"/>
    </row>
    <row r="87" spans="1:15">
      <c r="A87">
        <v>38833183</v>
      </c>
      <c r="B87" t="b">
        <v>0</v>
      </c>
      <c r="C87" t="b">
        <v>1</v>
      </c>
      <c r="D87" t="b">
        <v>0</v>
      </c>
      <c r="E87" t="b">
        <v>0</v>
      </c>
      <c r="F87" s="88" t="s">
        <v>603</v>
      </c>
      <c r="G87" s="88" t="s">
        <v>621</v>
      </c>
      <c r="H87">
        <v>1</v>
      </c>
      <c r="I87">
        <v>15</v>
      </c>
      <c r="J87">
        <v>15</v>
      </c>
      <c r="N87" s="87"/>
      <c r="O87" s="87"/>
    </row>
    <row r="88" spans="1:15">
      <c r="A88">
        <v>39288456</v>
      </c>
      <c r="B88" t="b">
        <v>0</v>
      </c>
      <c r="C88" t="b">
        <v>1</v>
      </c>
      <c r="D88" t="b">
        <v>0</v>
      </c>
      <c r="E88" t="b">
        <v>0</v>
      </c>
      <c r="F88" s="88" t="s">
        <v>631</v>
      </c>
      <c r="G88" s="88" t="s">
        <v>638</v>
      </c>
      <c r="H88">
        <v>1</v>
      </c>
      <c r="I88">
        <v>15</v>
      </c>
      <c r="J88">
        <v>15</v>
      </c>
      <c r="N88" s="87"/>
      <c r="O88" s="87"/>
    </row>
    <row r="89" spans="1:15">
      <c r="A89">
        <v>39800422</v>
      </c>
      <c r="B89" t="b">
        <v>1</v>
      </c>
      <c r="C89" t="b">
        <v>0</v>
      </c>
      <c r="D89" t="b">
        <v>0</v>
      </c>
      <c r="E89" t="b">
        <v>0</v>
      </c>
      <c r="F89" s="88" t="s">
        <v>631</v>
      </c>
      <c r="G89" s="88" t="s">
        <v>632</v>
      </c>
      <c r="H89">
        <v>1</v>
      </c>
      <c r="I89">
        <v>5</v>
      </c>
      <c r="J89">
        <v>5</v>
      </c>
      <c r="N89" s="87"/>
      <c r="O89" s="87"/>
    </row>
    <row r="90" spans="1:15">
      <c r="A90">
        <v>39800454</v>
      </c>
      <c r="B90" t="b">
        <v>0</v>
      </c>
      <c r="C90" t="b">
        <v>0</v>
      </c>
      <c r="D90" t="b">
        <v>1</v>
      </c>
      <c r="E90" t="b">
        <v>0</v>
      </c>
      <c r="F90" s="88" t="s">
        <v>657</v>
      </c>
      <c r="G90" s="88" t="s">
        <v>609</v>
      </c>
      <c r="H90">
        <v>1</v>
      </c>
      <c r="I90">
        <v>15</v>
      </c>
      <c r="J90">
        <v>15</v>
      </c>
      <c r="N90" s="87"/>
      <c r="O90" s="87"/>
    </row>
    <row r="91" spans="1:15">
      <c r="A91">
        <v>40395911</v>
      </c>
      <c r="B91" t="b">
        <v>0</v>
      </c>
      <c r="C91" t="b">
        <v>0</v>
      </c>
      <c r="D91" t="b">
        <v>1</v>
      </c>
      <c r="E91" t="b">
        <v>0</v>
      </c>
      <c r="F91" s="88" t="s">
        <v>590</v>
      </c>
      <c r="G91" s="88" t="s">
        <v>592</v>
      </c>
      <c r="H91">
        <v>4</v>
      </c>
      <c r="I91">
        <v>15</v>
      </c>
      <c r="J91">
        <v>11</v>
      </c>
      <c r="N91" s="87"/>
      <c r="O91" s="87"/>
    </row>
  </sheetData>
  <pageMargins left="0.75" right="0.75" top="1" bottom="1" header="0.3" footer="0.3"/>
  <pageSetup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1.19921875" defaultRowHeight="11.5"/>
  <sheetData/>
  <pageMargins left="0.75" right="0.75" top="1" bottom="1" header="0.5" footer="0.5"/>
  <pageSetup orientation="portrait" horizontalDpi="0" verticalDpi="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ColWidth="11.19921875" defaultRowHeight="11.5"/>
  <sheetData/>
  <pageMargins left="0.75" right="0.75" top="1" bottom="1" header="0.5" footer="0.5"/>
  <pageSetup orientation="portrait" horizontalDpi="0" verticalDpi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requestors pivot</vt:lpstr>
      <vt:lpstr>original</vt:lpstr>
      <vt:lpstr>requestors</vt:lpstr>
      <vt:lpstr>requests.tsv</vt:lpstr>
      <vt:lpstr>Sheet2</vt:lpstr>
      <vt:lpstr>Sheet3</vt:lpstr>
    </vt:vector>
  </TitlesOfParts>
  <Company>Stanford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Dick Simpson</dc:creator>
  <cp:lastModifiedBy>Wister Walcott</cp:lastModifiedBy>
  <cp:lastPrinted>2025-11-09T00:48:02Z</cp:lastPrinted>
  <dcterms:created xsi:type="dcterms:W3CDTF">2003-08-21T01:37:46Z</dcterms:created>
  <dcterms:modified xsi:type="dcterms:W3CDTF">2026-03-27T19:16:37Z</dcterms:modified>
</cp:coreProperties>
</file>